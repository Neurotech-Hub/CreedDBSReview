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bygraham/Projects/accDBS/behavioralTesting/impedance/"/>
    </mc:Choice>
  </mc:AlternateContent>
  <xr:revisionPtr revIDLastSave="0" documentId="13_ncr:1_{7B15958E-F950-E340-83AD-5E65979F8812}" xr6:coauthVersionLast="47" xr6:coauthVersionMax="47" xr10:uidLastSave="{00000000-0000-0000-0000-000000000000}"/>
  <bookViews>
    <workbookView xWindow="0" yWindow="500" windowWidth="17160" windowHeight="16280" xr2:uid="{88FD46F5-A257-2847-B8B7-5BF258794E5D}"/>
  </bookViews>
  <sheets>
    <sheet name="gold plated platinum" sheetId="5" r:id="rId1"/>
    <sheet name="platinum cohort 1" sheetId="4" r:id="rId2"/>
    <sheet name="in vivo two months post" sheetId="3" r:id="rId3"/>
    <sheet name="in vivo" sheetId="1" r:id="rId4"/>
    <sheet name="bench testin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4" l="1"/>
  <c r="G122" i="4"/>
  <c r="C122" i="4"/>
  <c r="B122" i="4"/>
  <c r="I121" i="4"/>
  <c r="D121" i="4"/>
  <c r="I120" i="4"/>
  <c r="D120" i="4"/>
  <c r="I119" i="4"/>
  <c r="D119" i="4"/>
  <c r="I118" i="4"/>
  <c r="D118" i="4"/>
  <c r="I117" i="4"/>
  <c r="D117" i="4"/>
  <c r="H110" i="4"/>
  <c r="G110" i="4"/>
  <c r="C110" i="4"/>
  <c r="B110" i="4"/>
  <c r="I109" i="4"/>
  <c r="D109" i="4"/>
  <c r="I108" i="4"/>
  <c r="D108" i="4"/>
  <c r="I107" i="4"/>
  <c r="D107" i="4"/>
  <c r="I106" i="4"/>
  <c r="D106" i="4"/>
  <c r="I105" i="4"/>
  <c r="D105" i="4"/>
  <c r="H97" i="5"/>
  <c r="G97" i="5"/>
  <c r="C97" i="5"/>
  <c r="B97" i="5"/>
  <c r="I96" i="5"/>
  <c r="D96" i="5"/>
  <c r="I95" i="5"/>
  <c r="D95" i="5"/>
  <c r="I94" i="5"/>
  <c r="D94" i="5"/>
  <c r="I93" i="5"/>
  <c r="D93" i="5"/>
  <c r="I92" i="5"/>
  <c r="I97" i="5" s="1"/>
  <c r="D92" i="5"/>
  <c r="I85" i="5"/>
  <c r="H85" i="5"/>
  <c r="G85" i="5"/>
  <c r="C85" i="5"/>
  <c r="B85" i="5"/>
  <c r="I84" i="5"/>
  <c r="D84" i="5"/>
  <c r="I83" i="5"/>
  <c r="D83" i="5"/>
  <c r="I82" i="5"/>
  <c r="D82" i="5"/>
  <c r="I81" i="5"/>
  <c r="D81" i="5"/>
  <c r="I80" i="5"/>
  <c r="D80" i="5"/>
  <c r="D85" i="5" s="1"/>
  <c r="H72" i="5"/>
  <c r="G72" i="5"/>
  <c r="C72" i="5"/>
  <c r="B72" i="5"/>
  <c r="I71" i="5"/>
  <c r="D71" i="5"/>
  <c r="I70" i="5"/>
  <c r="D70" i="5"/>
  <c r="I69" i="5"/>
  <c r="D69" i="5"/>
  <c r="I68" i="5"/>
  <c r="D68" i="5"/>
  <c r="I67" i="5"/>
  <c r="D67" i="5"/>
  <c r="D72" i="5" s="1"/>
  <c r="H60" i="5"/>
  <c r="G60" i="5"/>
  <c r="C60" i="5"/>
  <c r="B60" i="5"/>
  <c r="I59" i="5"/>
  <c r="D59" i="5"/>
  <c r="I58" i="5"/>
  <c r="D58" i="5"/>
  <c r="I57" i="5"/>
  <c r="D57" i="5"/>
  <c r="D60" i="5" s="1"/>
  <c r="I56" i="5"/>
  <c r="D56" i="5"/>
  <c r="I55" i="5"/>
  <c r="D55" i="5"/>
  <c r="H47" i="5"/>
  <c r="G47" i="5"/>
  <c r="C47" i="5"/>
  <c r="B47" i="5"/>
  <c r="I46" i="5"/>
  <c r="D46" i="5"/>
  <c r="I45" i="5"/>
  <c r="D45" i="5"/>
  <c r="I44" i="5"/>
  <c r="D44" i="5"/>
  <c r="I43" i="5"/>
  <c r="D43" i="5"/>
  <c r="I42" i="5"/>
  <c r="D42" i="5"/>
  <c r="H35" i="5"/>
  <c r="G35" i="5"/>
  <c r="C35" i="5"/>
  <c r="B35" i="5"/>
  <c r="I34" i="5"/>
  <c r="D34" i="5"/>
  <c r="I33" i="5"/>
  <c r="D33" i="5"/>
  <c r="I32" i="5"/>
  <c r="D32" i="5"/>
  <c r="I31" i="5"/>
  <c r="D31" i="5"/>
  <c r="I30" i="5"/>
  <c r="D30" i="5"/>
  <c r="H22" i="5"/>
  <c r="G22" i="5"/>
  <c r="C22" i="5"/>
  <c r="B22" i="5"/>
  <c r="I21" i="5"/>
  <c r="D21" i="5"/>
  <c r="I20" i="5"/>
  <c r="D20" i="5"/>
  <c r="I19" i="5"/>
  <c r="D19" i="5"/>
  <c r="I18" i="5"/>
  <c r="D18" i="5"/>
  <c r="I17" i="5"/>
  <c r="D17" i="5"/>
  <c r="H10" i="5"/>
  <c r="G10" i="5"/>
  <c r="C10" i="5"/>
  <c r="B10" i="5"/>
  <c r="I9" i="5"/>
  <c r="D9" i="5"/>
  <c r="I8" i="5"/>
  <c r="D8" i="5"/>
  <c r="I7" i="5"/>
  <c r="D7" i="5"/>
  <c r="I6" i="5"/>
  <c r="D6" i="5"/>
  <c r="I5" i="5"/>
  <c r="D5" i="5"/>
  <c r="H97" i="4"/>
  <c r="G97" i="4"/>
  <c r="C97" i="4"/>
  <c r="B97" i="4"/>
  <c r="I96" i="4"/>
  <c r="D96" i="4"/>
  <c r="I95" i="4"/>
  <c r="D95" i="4"/>
  <c r="I94" i="4"/>
  <c r="D94" i="4"/>
  <c r="I93" i="4"/>
  <c r="D93" i="4"/>
  <c r="I92" i="4"/>
  <c r="D92" i="4"/>
  <c r="H85" i="4"/>
  <c r="G85" i="4"/>
  <c r="C85" i="4"/>
  <c r="B85" i="4"/>
  <c r="I84" i="4"/>
  <c r="D84" i="4"/>
  <c r="I83" i="4"/>
  <c r="D83" i="4"/>
  <c r="I82" i="4"/>
  <c r="D82" i="4"/>
  <c r="I81" i="4"/>
  <c r="D81" i="4"/>
  <c r="I80" i="4"/>
  <c r="D80" i="4"/>
  <c r="H72" i="4"/>
  <c r="G72" i="4"/>
  <c r="C72" i="4"/>
  <c r="B72" i="4"/>
  <c r="I71" i="4"/>
  <c r="D71" i="4"/>
  <c r="I70" i="4"/>
  <c r="D70" i="4"/>
  <c r="I69" i="4"/>
  <c r="D69" i="4"/>
  <c r="I68" i="4"/>
  <c r="D68" i="4"/>
  <c r="I67" i="4"/>
  <c r="D67" i="4"/>
  <c r="H60" i="4"/>
  <c r="G60" i="4"/>
  <c r="C60" i="4"/>
  <c r="B60" i="4"/>
  <c r="I59" i="4"/>
  <c r="D59" i="4"/>
  <c r="I58" i="4"/>
  <c r="D58" i="4"/>
  <c r="I57" i="4"/>
  <c r="D57" i="4"/>
  <c r="I56" i="4"/>
  <c r="D56" i="4"/>
  <c r="I55" i="4"/>
  <c r="D55" i="4"/>
  <c r="D30" i="4"/>
  <c r="D31" i="4"/>
  <c r="D32" i="4"/>
  <c r="D33" i="4"/>
  <c r="D34" i="4"/>
  <c r="D42" i="4"/>
  <c r="D43" i="4"/>
  <c r="D44" i="4"/>
  <c r="D45" i="4"/>
  <c r="D46" i="4"/>
  <c r="H47" i="4"/>
  <c r="G47" i="4"/>
  <c r="C47" i="4"/>
  <c r="B47" i="4"/>
  <c r="I46" i="4"/>
  <c r="I45" i="4"/>
  <c r="I44" i="4"/>
  <c r="I43" i="4"/>
  <c r="I42" i="4"/>
  <c r="H35" i="4"/>
  <c r="G35" i="4"/>
  <c r="C35" i="4"/>
  <c r="B35" i="4"/>
  <c r="I34" i="4"/>
  <c r="I33" i="4"/>
  <c r="I32" i="4"/>
  <c r="I31" i="4"/>
  <c r="I30" i="4"/>
  <c r="D35" i="4"/>
  <c r="H22" i="4"/>
  <c r="G22" i="4"/>
  <c r="C22" i="4"/>
  <c r="B22" i="4"/>
  <c r="I21" i="4"/>
  <c r="D21" i="4"/>
  <c r="I20" i="4"/>
  <c r="D20" i="4"/>
  <c r="I19" i="4"/>
  <c r="D19" i="4"/>
  <c r="I18" i="4"/>
  <c r="D18" i="4"/>
  <c r="I17" i="4"/>
  <c r="D17" i="4"/>
  <c r="H10" i="4"/>
  <c r="G10" i="4"/>
  <c r="C10" i="4"/>
  <c r="B10" i="4"/>
  <c r="I9" i="4"/>
  <c r="D9" i="4"/>
  <c r="I8" i="4"/>
  <c r="D8" i="4"/>
  <c r="I7" i="4"/>
  <c r="D7" i="4"/>
  <c r="I6" i="4"/>
  <c r="D6" i="4"/>
  <c r="I5" i="4"/>
  <c r="D5" i="4"/>
  <c r="H21" i="3"/>
  <c r="G21" i="3"/>
  <c r="C21" i="3"/>
  <c r="B21" i="3"/>
  <c r="I20" i="3"/>
  <c r="D20" i="3"/>
  <c r="I19" i="3"/>
  <c r="D19" i="3"/>
  <c r="I18" i="3"/>
  <c r="D18" i="3"/>
  <c r="I17" i="3"/>
  <c r="D17" i="3"/>
  <c r="I16" i="3"/>
  <c r="D16" i="3"/>
  <c r="D21" i="3" s="1"/>
  <c r="H9" i="3"/>
  <c r="G9" i="3"/>
  <c r="C9" i="3"/>
  <c r="B9" i="3"/>
  <c r="I8" i="3"/>
  <c r="D8" i="3"/>
  <c r="I7" i="3"/>
  <c r="D7" i="3"/>
  <c r="I6" i="3"/>
  <c r="D6" i="3"/>
  <c r="I5" i="3"/>
  <c r="D5" i="3"/>
  <c r="I4" i="3"/>
  <c r="D4" i="3"/>
  <c r="E5" i="2"/>
  <c r="E6" i="2"/>
  <c r="E7" i="2"/>
  <c r="E4" i="2"/>
  <c r="H21" i="1"/>
  <c r="I21" i="1"/>
  <c r="G21" i="1"/>
  <c r="C21" i="1"/>
  <c r="D21" i="1"/>
  <c r="B21" i="1"/>
  <c r="I17" i="1"/>
  <c r="I18" i="1"/>
  <c r="I19" i="1"/>
  <c r="I20" i="1"/>
  <c r="I16" i="1"/>
  <c r="D17" i="1"/>
  <c r="D18" i="1"/>
  <c r="D19" i="1"/>
  <c r="D20" i="1"/>
  <c r="D16" i="1"/>
  <c r="H9" i="1"/>
  <c r="I9" i="1"/>
  <c r="G9" i="1"/>
  <c r="I5" i="1"/>
  <c r="I6" i="1"/>
  <c r="I7" i="1"/>
  <c r="I8" i="1"/>
  <c r="I4" i="1"/>
  <c r="C9" i="1"/>
  <c r="D9" i="1"/>
  <c r="B9" i="1"/>
  <c r="D5" i="1"/>
  <c r="D6" i="1"/>
  <c r="D7" i="1"/>
  <c r="D8" i="1"/>
  <c r="D4" i="1"/>
  <c r="D47" i="5" l="1"/>
  <c r="I47" i="5"/>
  <c r="I35" i="5"/>
  <c r="D35" i="5"/>
  <c r="I122" i="4"/>
  <c r="D122" i="4"/>
  <c r="I110" i="4"/>
  <c r="D110" i="4"/>
  <c r="D22" i="5"/>
  <c r="D97" i="5"/>
  <c r="I72" i="5"/>
  <c r="I60" i="5"/>
  <c r="I22" i="5"/>
  <c r="I10" i="5"/>
  <c r="D10" i="5"/>
  <c r="I97" i="4"/>
  <c r="D97" i="4"/>
  <c r="I85" i="4"/>
  <c r="D85" i="4"/>
  <c r="D72" i="4"/>
  <c r="I72" i="4"/>
  <c r="I60" i="4"/>
  <c r="D60" i="4"/>
  <c r="I47" i="4"/>
  <c r="D47" i="4"/>
  <c r="I35" i="4"/>
  <c r="D22" i="4"/>
  <c r="I22" i="4"/>
  <c r="I10" i="4"/>
  <c r="D10" i="4"/>
  <c r="I21" i="3"/>
  <c r="I9" i="3"/>
  <c r="D9" i="3"/>
</calcChain>
</file>

<file path=xl/sharedStrings.xml><?xml version="1.0" encoding="utf-8"?>
<sst xmlns="http://schemas.openxmlformats.org/spreadsheetml/2006/main" count="279" uniqueCount="24">
  <si>
    <t>F</t>
  </si>
  <si>
    <t>output0</t>
  </si>
  <si>
    <t>current (uA)</t>
  </si>
  <si>
    <t>voltage (mV)</t>
  </si>
  <si>
    <t>resistance (kOhm)</t>
  </si>
  <si>
    <t>output1</t>
  </si>
  <si>
    <t>M</t>
  </si>
  <si>
    <t>mean</t>
  </si>
  <si>
    <t>amp: 10uA, duration: 450 us, frequency: 130 Hz, total stimulation time: 10 seconds</t>
  </si>
  <si>
    <t>Resistor value (kOhm)</t>
  </si>
  <si>
    <t>Theoretical voltage (mV)</t>
  </si>
  <si>
    <t>Scope voltage (mV)</t>
  </si>
  <si>
    <t>StimJim voltage (mV)</t>
  </si>
  <si>
    <t>% error</t>
  </si>
  <si>
    <t>M1</t>
  </si>
  <si>
    <t>M2</t>
  </si>
  <si>
    <t>1 week post implant</t>
  </si>
  <si>
    <t>2 weeks post implant</t>
  </si>
  <si>
    <t>3 weeks post implant</t>
  </si>
  <si>
    <t>4 weeks post implant</t>
  </si>
  <si>
    <t>1 week post implant (and two days)</t>
  </si>
  <si>
    <t>5 weeks post implant</t>
  </si>
  <si>
    <t>F1_2R</t>
  </si>
  <si>
    <t>F2_2L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</si>
</sst>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8EDF-BE2B-AF45-9F7F-3061584D0368}">
  <dimension ref="A1:I97"/>
  <sheetViews>
    <sheetView tabSelected="1" workbookViewId="0">
      <selection activeCell="D12" sqref="D12"/>
    </sheetView>
  </sheetViews>
  <sheetFormatPr baseColWidth="10" defaultRowHeight="16" x14ac:dyDescent="0.2"/>
  <cols>
    <col min="2" max="2" width="11.1640625" bestFit="1" customWidth="1"/>
    <col min="4" max="4" width="16" bestFit="1" customWidth="1"/>
    <col min="7" max="7" width="11.6640625" bestFit="1" customWidth="1"/>
    <col min="9" max="9" width="16.83203125" bestFit="1" customWidth="1"/>
  </cols>
  <sheetData>
    <row r="1" spans="1:9" x14ac:dyDescent="0.2">
      <c r="A1" s="1" t="s">
        <v>20</v>
      </c>
    </row>
    <row r="2" spans="1:9" x14ac:dyDescent="0.2">
      <c r="A2" s="1" t="s">
        <v>22</v>
      </c>
      <c r="B2" t="s">
        <v>8</v>
      </c>
    </row>
    <row r="3" spans="1:9" x14ac:dyDescent="0.2">
      <c r="A3" s="1"/>
    </row>
    <row r="4" spans="1:9" x14ac:dyDescent="0.2">
      <c r="A4" s="1" t="s">
        <v>1</v>
      </c>
      <c r="B4" s="1" t="s">
        <v>3</v>
      </c>
      <c r="C4" s="1" t="s">
        <v>2</v>
      </c>
      <c r="D4" s="1" t="s">
        <v>4</v>
      </c>
      <c r="F4" s="1" t="s">
        <v>5</v>
      </c>
      <c r="G4" s="1" t="s">
        <v>3</v>
      </c>
      <c r="H4" s="1" t="s">
        <v>2</v>
      </c>
      <c r="I4" s="1" t="s">
        <v>4</v>
      </c>
    </row>
    <row r="5" spans="1:9" x14ac:dyDescent="0.2">
      <c r="A5">
        <v>1</v>
      </c>
      <c r="B5">
        <v>388</v>
      </c>
      <c r="C5">
        <v>8</v>
      </c>
      <c r="D5" s="2">
        <f>B5/C5</f>
        <v>48.5</v>
      </c>
      <c r="F5">
        <v>1</v>
      </c>
      <c r="G5">
        <v>282</v>
      </c>
      <c r="H5">
        <v>7</v>
      </c>
      <c r="I5" s="2">
        <f>G5/H5</f>
        <v>40.285714285714285</v>
      </c>
    </row>
    <row r="6" spans="1:9" x14ac:dyDescent="0.2">
      <c r="A6">
        <v>2</v>
      </c>
      <c r="B6">
        <v>390</v>
      </c>
      <c r="C6">
        <v>8</v>
      </c>
      <c r="D6" s="2">
        <f t="shared" ref="D6:D9" si="0">B6/C6</f>
        <v>48.75</v>
      </c>
      <c r="F6">
        <v>2</v>
      </c>
      <c r="G6">
        <v>284</v>
      </c>
      <c r="H6">
        <v>7</v>
      </c>
      <c r="I6" s="2">
        <f t="shared" ref="I6:I9" si="1">G6/H6</f>
        <v>40.571428571428569</v>
      </c>
    </row>
    <row r="7" spans="1:9" x14ac:dyDescent="0.2">
      <c r="A7">
        <v>3</v>
      </c>
      <c r="B7">
        <v>390</v>
      </c>
      <c r="C7">
        <v>8</v>
      </c>
      <c r="D7" s="2">
        <f t="shared" si="0"/>
        <v>48.75</v>
      </c>
      <c r="F7">
        <v>3</v>
      </c>
      <c r="G7">
        <v>285</v>
      </c>
      <c r="H7">
        <v>7</v>
      </c>
      <c r="I7" s="2">
        <f t="shared" si="1"/>
        <v>40.714285714285715</v>
      </c>
    </row>
    <row r="8" spans="1:9" x14ac:dyDescent="0.2">
      <c r="A8">
        <v>4</v>
      </c>
      <c r="B8">
        <v>390</v>
      </c>
      <c r="C8">
        <v>8</v>
      </c>
      <c r="D8" s="2">
        <f t="shared" si="0"/>
        <v>48.75</v>
      </c>
      <c r="F8">
        <v>4</v>
      </c>
      <c r="G8">
        <v>285</v>
      </c>
      <c r="H8">
        <v>7</v>
      </c>
      <c r="I8" s="2">
        <f t="shared" si="1"/>
        <v>40.714285714285715</v>
      </c>
    </row>
    <row r="9" spans="1:9" x14ac:dyDescent="0.2">
      <c r="A9">
        <v>5</v>
      </c>
      <c r="B9">
        <v>391</v>
      </c>
      <c r="C9">
        <v>8</v>
      </c>
      <c r="D9" s="2">
        <f t="shared" si="0"/>
        <v>48.875</v>
      </c>
      <c r="F9">
        <v>5</v>
      </c>
      <c r="G9">
        <v>286</v>
      </c>
      <c r="H9">
        <v>7</v>
      </c>
      <c r="I9" s="2">
        <f t="shared" si="1"/>
        <v>40.857142857142854</v>
      </c>
    </row>
    <row r="10" spans="1:9" x14ac:dyDescent="0.2">
      <c r="A10" s="1" t="s">
        <v>7</v>
      </c>
      <c r="B10">
        <f>AVERAGE(B5:B9)</f>
        <v>389.8</v>
      </c>
      <c r="C10">
        <f t="shared" ref="C10:D10" si="2">AVERAGE(C5:C9)</f>
        <v>8</v>
      </c>
      <c r="D10" s="3">
        <f t="shared" si="2"/>
        <v>48.725000000000001</v>
      </c>
      <c r="F10" s="1" t="s">
        <v>7</v>
      </c>
      <c r="G10">
        <f>AVERAGE(G5:G9)</f>
        <v>284.39999999999998</v>
      </c>
      <c r="H10">
        <f t="shared" ref="H10:I10" si="3">AVERAGE(H5:H9)</f>
        <v>7</v>
      </c>
      <c r="I10" s="3">
        <f t="shared" si="3"/>
        <v>40.628571428571433</v>
      </c>
    </row>
    <row r="14" spans="1:9" x14ac:dyDescent="0.2">
      <c r="A14" s="1" t="s">
        <v>23</v>
      </c>
      <c r="B14" t="s">
        <v>8</v>
      </c>
    </row>
    <row r="15" spans="1:9" x14ac:dyDescent="0.2">
      <c r="A15" s="1"/>
    </row>
    <row r="16" spans="1:9" x14ac:dyDescent="0.2">
      <c r="A16" s="1" t="s">
        <v>1</v>
      </c>
      <c r="B16" s="1" t="s">
        <v>3</v>
      </c>
      <c r="C16" s="1" t="s">
        <v>2</v>
      </c>
      <c r="D16" s="1" t="s">
        <v>4</v>
      </c>
      <c r="F16" s="1" t="s">
        <v>5</v>
      </c>
      <c r="G16" s="1" t="s">
        <v>3</v>
      </c>
      <c r="H16" s="1" t="s">
        <v>2</v>
      </c>
      <c r="I16" s="1" t="s">
        <v>4</v>
      </c>
    </row>
    <row r="17" spans="1:9" x14ac:dyDescent="0.2">
      <c r="A17">
        <v>1</v>
      </c>
      <c r="B17">
        <v>528</v>
      </c>
      <c r="C17">
        <v>8</v>
      </c>
      <c r="D17" s="2">
        <f>B17/C17</f>
        <v>66</v>
      </c>
      <c r="F17">
        <v>1</v>
      </c>
      <c r="G17">
        <v>573</v>
      </c>
      <c r="H17">
        <v>7</v>
      </c>
      <c r="I17" s="2">
        <f>G17/H17</f>
        <v>81.857142857142861</v>
      </c>
    </row>
    <row r="18" spans="1:9" x14ac:dyDescent="0.2">
      <c r="A18">
        <v>2</v>
      </c>
      <c r="B18">
        <v>528</v>
      </c>
      <c r="C18">
        <v>8</v>
      </c>
      <c r="D18" s="2">
        <f t="shared" ref="D18:D21" si="4">B18/C18</f>
        <v>66</v>
      </c>
      <c r="F18">
        <v>2</v>
      </c>
      <c r="G18">
        <v>574</v>
      </c>
      <c r="H18">
        <v>7</v>
      </c>
      <c r="I18" s="2">
        <f t="shared" ref="I18:I21" si="5">G18/H18</f>
        <v>82</v>
      </c>
    </row>
    <row r="19" spans="1:9" x14ac:dyDescent="0.2">
      <c r="A19">
        <v>3</v>
      </c>
      <c r="B19">
        <v>528</v>
      </c>
      <c r="C19">
        <v>8</v>
      </c>
      <c r="D19" s="2">
        <f t="shared" si="4"/>
        <v>66</v>
      </c>
      <c r="F19">
        <v>3</v>
      </c>
      <c r="G19">
        <v>578</v>
      </c>
      <c r="H19">
        <v>7</v>
      </c>
      <c r="I19" s="2">
        <f t="shared" si="5"/>
        <v>82.571428571428569</v>
      </c>
    </row>
    <row r="20" spans="1:9" x14ac:dyDescent="0.2">
      <c r="A20">
        <v>4</v>
      </c>
      <c r="B20">
        <v>528</v>
      </c>
      <c r="C20">
        <v>8</v>
      </c>
      <c r="D20" s="2">
        <f t="shared" si="4"/>
        <v>66</v>
      </c>
      <c r="F20">
        <v>4</v>
      </c>
      <c r="G20">
        <v>579</v>
      </c>
      <c r="H20">
        <v>7</v>
      </c>
      <c r="I20" s="2">
        <f t="shared" si="5"/>
        <v>82.714285714285708</v>
      </c>
    </row>
    <row r="21" spans="1:9" x14ac:dyDescent="0.2">
      <c r="A21">
        <v>5</v>
      </c>
      <c r="B21">
        <v>529</v>
      </c>
      <c r="C21">
        <v>8</v>
      </c>
      <c r="D21" s="2">
        <f t="shared" si="4"/>
        <v>66.125</v>
      </c>
      <c r="F21">
        <v>5</v>
      </c>
      <c r="G21">
        <v>581</v>
      </c>
      <c r="H21">
        <v>7</v>
      </c>
      <c r="I21" s="2">
        <f t="shared" si="5"/>
        <v>83</v>
      </c>
    </row>
    <row r="22" spans="1:9" x14ac:dyDescent="0.2">
      <c r="A22" s="1" t="s">
        <v>7</v>
      </c>
      <c r="B22">
        <f>AVERAGE(B17:B21)</f>
        <v>528.20000000000005</v>
      </c>
      <c r="C22">
        <f t="shared" ref="C22:D22" si="6">AVERAGE(C17:C21)</f>
        <v>8</v>
      </c>
      <c r="D22" s="3">
        <f t="shared" si="6"/>
        <v>66.025000000000006</v>
      </c>
      <c r="F22" s="1" t="s">
        <v>7</v>
      </c>
      <c r="G22">
        <f>AVERAGE(G17:G21)</f>
        <v>577</v>
      </c>
      <c r="H22">
        <f t="shared" ref="H22:I22" si="7">AVERAGE(H17:H21)</f>
        <v>7</v>
      </c>
      <c r="I22" s="3">
        <f t="shared" si="7"/>
        <v>82.428571428571431</v>
      </c>
    </row>
    <row r="26" spans="1:9" x14ac:dyDescent="0.2">
      <c r="A26" s="1" t="s">
        <v>17</v>
      </c>
    </row>
    <row r="27" spans="1:9" x14ac:dyDescent="0.2">
      <c r="A27" s="1" t="s">
        <v>22</v>
      </c>
      <c r="B27" t="s">
        <v>8</v>
      </c>
    </row>
    <row r="28" spans="1:9" x14ac:dyDescent="0.2">
      <c r="A28" s="1"/>
    </row>
    <row r="29" spans="1:9" x14ac:dyDescent="0.2">
      <c r="A29" s="1" t="s">
        <v>1</v>
      </c>
      <c r="B29" s="1" t="s">
        <v>3</v>
      </c>
      <c r="C29" s="1" t="s">
        <v>2</v>
      </c>
      <c r="D29" s="1" t="s">
        <v>4</v>
      </c>
      <c r="F29" s="1" t="s">
        <v>5</v>
      </c>
      <c r="G29" s="1" t="s">
        <v>3</v>
      </c>
      <c r="H29" s="1" t="s">
        <v>2</v>
      </c>
      <c r="I29" s="1" t="s">
        <v>4</v>
      </c>
    </row>
    <row r="30" spans="1:9" x14ac:dyDescent="0.2">
      <c r="A30">
        <v>1</v>
      </c>
      <c r="B30">
        <v>451</v>
      </c>
      <c r="C30">
        <v>7</v>
      </c>
      <c r="D30" s="2">
        <f>B30/C30</f>
        <v>64.428571428571431</v>
      </c>
      <c r="F30">
        <v>1</v>
      </c>
      <c r="G30">
        <v>367</v>
      </c>
      <c r="H30">
        <v>7</v>
      </c>
      <c r="I30" s="2">
        <f>G30/H30</f>
        <v>52.428571428571431</v>
      </c>
    </row>
    <row r="31" spans="1:9" x14ac:dyDescent="0.2">
      <c r="A31">
        <v>2</v>
      </c>
      <c r="B31">
        <v>457</v>
      </c>
      <c r="C31">
        <v>7</v>
      </c>
      <c r="D31" s="2">
        <f t="shared" ref="D31:D34" si="8">B31/C31</f>
        <v>65.285714285714292</v>
      </c>
      <c r="F31">
        <v>2</v>
      </c>
      <c r="G31">
        <v>369</v>
      </c>
      <c r="H31">
        <v>7</v>
      </c>
      <c r="I31" s="2">
        <f t="shared" ref="I31:I34" si="9">G31/H31</f>
        <v>52.714285714285715</v>
      </c>
    </row>
    <row r="32" spans="1:9" x14ac:dyDescent="0.2">
      <c r="A32">
        <v>3</v>
      </c>
      <c r="B32">
        <v>456</v>
      </c>
      <c r="C32">
        <v>7</v>
      </c>
      <c r="D32" s="2">
        <f t="shared" si="8"/>
        <v>65.142857142857139</v>
      </c>
      <c r="F32">
        <v>3</v>
      </c>
      <c r="G32">
        <v>368</v>
      </c>
      <c r="H32">
        <v>7</v>
      </c>
      <c r="I32" s="2">
        <f t="shared" si="9"/>
        <v>52.571428571428569</v>
      </c>
    </row>
    <row r="33" spans="1:9" x14ac:dyDescent="0.2">
      <c r="A33">
        <v>4</v>
      </c>
      <c r="B33">
        <v>457</v>
      </c>
      <c r="C33">
        <v>7</v>
      </c>
      <c r="D33" s="2">
        <f t="shared" si="8"/>
        <v>65.285714285714292</v>
      </c>
      <c r="F33">
        <v>4</v>
      </c>
      <c r="G33">
        <v>368</v>
      </c>
      <c r="H33">
        <v>7</v>
      </c>
      <c r="I33" s="2">
        <f t="shared" si="9"/>
        <v>52.571428571428569</v>
      </c>
    </row>
    <row r="34" spans="1:9" x14ac:dyDescent="0.2">
      <c r="A34">
        <v>5</v>
      </c>
      <c r="B34">
        <v>457</v>
      </c>
      <c r="C34">
        <v>7</v>
      </c>
      <c r="D34" s="2">
        <f t="shared" si="8"/>
        <v>65.285714285714292</v>
      </c>
      <c r="F34">
        <v>5</v>
      </c>
      <c r="G34">
        <v>370</v>
      </c>
      <c r="H34">
        <v>7</v>
      </c>
      <c r="I34" s="2">
        <f t="shared" si="9"/>
        <v>52.857142857142854</v>
      </c>
    </row>
    <row r="35" spans="1:9" x14ac:dyDescent="0.2">
      <c r="A35" s="1" t="s">
        <v>7</v>
      </c>
      <c r="B35">
        <f>AVERAGE(B30:B34)</f>
        <v>455.6</v>
      </c>
      <c r="C35">
        <f t="shared" ref="C35:D35" si="10">AVERAGE(C30:C34)</f>
        <v>7</v>
      </c>
      <c r="D35" s="3">
        <f t="shared" si="10"/>
        <v>65.085714285714289</v>
      </c>
      <c r="F35" s="1" t="s">
        <v>7</v>
      </c>
      <c r="G35">
        <f>AVERAGE(G30:G34)</f>
        <v>368.4</v>
      </c>
      <c r="H35">
        <f t="shared" ref="H35:I35" si="11">AVERAGE(H30:H34)</f>
        <v>7</v>
      </c>
      <c r="I35" s="3">
        <f t="shared" si="11"/>
        <v>52.628571428571419</v>
      </c>
    </row>
    <row r="39" spans="1:9" x14ac:dyDescent="0.2">
      <c r="A39" s="1" t="s">
        <v>23</v>
      </c>
      <c r="B39" t="s">
        <v>8</v>
      </c>
    </row>
    <row r="40" spans="1:9" x14ac:dyDescent="0.2">
      <c r="A40" s="1"/>
    </row>
    <row r="41" spans="1:9" x14ac:dyDescent="0.2">
      <c r="A41" s="1" t="s">
        <v>1</v>
      </c>
      <c r="B41" s="1" t="s">
        <v>3</v>
      </c>
      <c r="C41" s="1" t="s">
        <v>2</v>
      </c>
      <c r="D41" s="1" t="s">
        <v>4</v>
      </c>
      <c r="F41" s="1" t="s">
        <v>5</v>
      </c>
      <c r="G41" s="1" t="s">
        <v>3</v>
      </c>
      <c r="H41" s="1" t="s">
        <v>2</v>
      </c>
      <c r="I41" s="1" t="s">
        <v>4</v>
      </c>
    </row>
    <row r="42" spans="1:9" x14ac:dyDescent="0.2">
      <c r="A42">
        <v>1</v>
      </c>
      <c r="B42">
        <v>529</v>
      </c>
      <c r="C42">
        <v>8</v>
      </c>
      <c r="D42" s="2">
        <f>B42/C42</f>
        <v>66.125</v>
      </c>
      <c r="F42">
        <v>1</v>
      </c>
      <c r="G42">
        <v>581</v>
      </c>
      <c r="H42">
        <v>7</v>
      </c>
      <c r="I42" s="2">
        <f>G42/H42</f>
        <v>83</v>
      </c>
    </row>
    <row r="43" spans="1:9" x14ac:dyDescent="0.2">
      <c r="A43">
        <v>2</v>
      </c>
      <c r="B43">
        <v>528</v>
      </c>
      <c r="C43">
        <v>8</v>
      </c>
      <c r="D43" s="2">
        <f t="shared" ref="D43:D46" si="12">B43/C43</f>
        <v>66</v>
      </c>
      <c r="F43">
        <v>2</v>
      </c>
      <c r="G43">
        <v>583</v>
      </c>
      <c r="H43">
        <v>7</v>
      </c>
      <c r="I43" s="2">
        <f t="shared" ref="I43:I46" si="13">G43/H43</f>
        <v>83.285714285714292</v>
      </c>
    </row>
    <row r="44" spans="1:9" x14ac:dyDescent="0.2">
      <c r="A44">
        <v>3</v>
      </c>
      <c r="B44">
        <v>532</v>
      </c>
      <c r="C44">
        <v>8</v>
      </c>
      <c r="D44" s="2">
        <f t="shared" si="12"/>
        <v>66.5</v>
      </c>
      <c r="F44">
        <v>3</v>
      </c>
      <c r="G44">
        <v>586</v>
      </c>
      <c r="H44">
        <v>7</v>
      </c>
      <c r="I44" s="2">
        <f t="shared" si="13"/>
        <v>83.714285714285708</v>
      </c>
    </row>
    <row r="45" spans="1:9" x14ac:dyDescent="0.2">
      <c r="A45">
        <v>4</v>
      </c>
      <c r="B45">
        <v>531</v>
      </c>
      <c r="C45">
        <v>8</v>
      </c>
      <c r="D45" s="2">
        <f t="shared" si="12"/>
        <v>66.375</v>
      </c>
      <c r="F45">
        <v>4</v>
      </c>
      <c r="G45">
        <v>585</v>
      </c>
      <c r="H45">
        <v>7</v>
      </c>
      <c r="I45" s="2">
        <f t="shared" si="13"/>
        <v>83.571428571428569</v>
      </c>
    </row>
    <row r="46" spans="1:9" x14ac:dyDescent="0.2">
      <c r="A46">
        <v>5</v>
      </c>
      <c r="B46">
        <v>530</v>
      </c>
      <c r="C46">
        <v>8</v>
      </c>
      <c r="D46" s="2">
        <f t="shared" si="12"/>
        <v>66.25</v>
      </c>
      <c r="F46">
        <v>5</v>
      </c>
      <c r="G46">
        <v>585</v>
      </c>
      <c r="H46">
        <v>7</v>
      </c>
      <c r="I46" s="2">
        <f t="shared" si="13"/>
        <v>83.571428571428569</v>
      </c>
    </row>
    <row r="47" spans="1:9" x14ac:dyDescent="0.2">
      <c r="A47" s="1" t="s">
        <v>7</v>
      </c>
      <c r="B47">
        <f>AVERAGE(B42:B46)</f>
        <v>530</v>
      </c>
      <c r="C47">
        <f t="shared" ref="C47:D47" si="14">AVERAGE(C42:C46)</f>
        <v>8</v>
      </c>
      <c r="D47" s="3">
        <f t="shared" si="14"/>
        <v>66.25</v>
      </c>
      <c r="F47" s="1" t="s">
        <v>7</v>
      </c>
      <c r="G47">
        <f>AVERAGE(G42:G46)</f>
        <v>584</v>
      </c>
      <c r="H47">
        <f t="shared" ref="H47:I47" si="15">AVERAGE(H42:H46)</f>
        <v>7</v>
      </c>
      <c r="I47" s="3">
        <f t="shared" si="15"/>
        <v>83.428571428571416</v>
      </c>
    </row>
    <row r="51" spans="1:9" x14ac:dyDescent="0.2">
      <c r="A51" s="1" t="s">
        <v>18</v>
      </c>
    </row>
    <row r="52" spans="1:9" x14ac:dyDescent="0.2">
      <c r="A52" s="1" t="s">
        <v>22</v>
      </c>
      <c r="B52" t="s">
        <v>8</v>
      </c>
    </row>
    <row r="53" spans="1:9" x14ac:dyDescent="0.2">
      <c r="A53" s="1"/>
    </row>
    <row r="54" spans="1:9" x14ac:dyDescent="0.2">
      <c r="A54" s="1" t="s">
        <v>1</v>
      </c>
      <c r="B54" s="1" t="s">
        <v>3</v>
      </c>
      <c r="C54" s="1" t="s">
        <v>2</v>
      </c>
      <c r="D54" s="1" t="s">
        <v>4</v>
      </c>
      <c r="F54" s="1" t="s">
        <v>5</v>
      </c>
      <c r="G54" s="1" t="s">
        <v>3</v>
      </c>
      <c r="H54" s="1" t="s">
        <v>2</v>
      </c>
      <c r="I54" s="1" t="s">
        <v>4</v>
      </c>
    </row>
    <row r="55" spans="1:9" x14ac:dyDescent="0.2">
      <c r="A55">
        <v>1</v>
      </c>
      <c r="D55" s="2" t="e">
        <f>B55/C55</f>
        <v>#DIV/0!</v>
      </c>
      <c r="F55">
        <v>1</v>
      </c>
      <c r="I55" s="2" t="e">
        <f>G55/H55</f>
        <v>#DIV/0!</v>
      </c>
    </row>
    <row r="56" spans="1:9" x14ac:dyDescent="0.2">
      <c r="A56">
        <v>2</v>
      </c>
      <c r="D56" s="2" t="e">
        <f t="shared" ref="D56:D59" si="16">B56/C56</f>
        <v>#DIV/0!</v>
      </c>
      <c r="F56">
        <v>2</v>
      </c>
      <c r="I56" s="2" t="e">
        <f t="shared" ref="I56:I59" si="17">G56/H56</f>
        <v>#DIV/0!</v>
      </c>
    </row>
    <row r="57" spans="1:9" x14ac:dyDescent="0.2">
      <c r="A57">
        <v>3</v>
      </c>
      <c r="D57" s="2" t="e">
        <f t="shared" si="16"/>
        <v>#DIV/0!</v>
      </c>
      <c r="F57">
        <v>3</v>
      </c>
      <c r="I57" s="2" t="e">
        <f t="shared" si="17"/>
        <v>#DIV/0!</v>
      </c>
    </row>
    <row r="58" spans="1:9" x14ac:dyDescent="0.2">
      <c r="A58">
        <v>4</v>
      </c>
      <c r="D58" s="2" t="e">
        <f t="shared" si="16"/>
        <v>#DIV/0!</v>
      </c>
      <c r="F58">
        <v>4</v>
      </c>
      <c r="I58" s="2" t="e">
        <f t="shared" si="17"/>
        <v>#DIV/0!</v>
      </c>
    </row>
    <row r="59" spans="1:9" x14ac:dyDescent="0.2">
      <c r="A59">
        <v>5</v>
      </c>
      <c r="D59" s="2" t="e">
        <f t="shared" si="16"/>
        <v>#DIV/0!</v>
      </c>
      <c r="F59">
        <v>5</v>
      </c>
      <c r="I59" s="2" t="e">
        <f t="shared" si="17"/>
        <v>#DIV/0!</v>
      </c>
    </row>
    <row r="60" spans="1:9" x14ac:dyDescent="0.2">
      <c r="A60" s="1" t="s">
        <v>7</v>
      </c>
      <c r="B60" t="e">
        <f>AVERAGE(B55:B59)</f>
        <v>#DIV/0!</v>
      </c>
      <c r="C60" t="e">
        <f t="shared" ref="C60:D60" si="18">AVERAGE(C55:C59)</f>
        <v>#DIV/0!</v>
      </c>
      <c r="D60" s="3" t="e">
        <f t="shared" si="18"/>
        <v>#DIV/0!</v>
      </c>
      <c r="F60" s="1" t="s">
        <v>7</v>
      </c>
      <c r="G60" t="e">
        <f>AVERAGE(G55:G59)</f>
        <v>#DIV/0!</v>
      </c>
      <c r="H60" t="e">
        <f t="shared" ref="H60:I60" si="19">AVERAGE(H55:H59)</f>
        <v>#DIV/0!</v>
      </c>
      <c r="I60" s="3" t="e">
        <f t="shared" si="19"/>
        <v>#DIV/0!</v>
      </c>
    </row>
    <row r="64" spans="1:9" x14ac:dyDescent="0.2">
      <c r="A64" s="1" t="s">
        <v>23</v>
      </c>
      <c r="B64" t="s">
        <v>8</v>
      </c>
    </row>
    <row r="65" spans="1:9" x14ac:dyDescent="0.2">
      <c r="A65" s="1"/>
    </row>
    <row r="66" spans="1:9" x14ac:dyDescent="0.2">
      <c r="A66" s="1" t="s">
        <v>1</v>
      </c>
      <c r="B66" s="1" t="s">
        <v>3</v>
      </c>
      <c r="C66" s="1" t="s">
        <v>2</v>
      </c>
      <c r="D66" s="1" t="s">
        <v>4</v>
      </c>
      <c r="F66" s="1" t="s">
        <v>5</v>
      </c>
      <c r="G66" s="1" t="s">
        <v>3</v>
      </c>
      <c r="H66" s="1" t="s">
        <v>2</v>
      </c>
      <c r="I66" s="1" t="s">
        <v>4</v>
      </c>
    </row>
    <row r="67" spans="1:9" x14ac:dyDescent="0.2">
      <c r="A67">
        <v>1</v>
      </c>
      <c r="D67" s="2" t="e">
        <f>B67/C67</f>
        <v>#DIV/0!</v>
      </c>
      <c r="F67">
        <v>1</v>
      </c>
      <c r="I67" s="2" t="e">
        <f>G67/H67</f>
        <v>#DIV/0!</v>
      </c>
    </row>
    <row r="68" spans="1:9" x14ac:dyDescent="0.2">
      <c r="A68">
        <v>2</v>
      </c>
      <c r="D68" s="2" t="e">
        <f t="shared" ref="D68:D71" si="20">B68/C68</f>
        <v>#DIV/0!</v>
      </c>
      <c r="F68">
        <v>2</v>
      </c>
      <c r="I68" s="2" t="e">
        <f t="shared" ref="I68:I71" si="21">G68/H68</f>
        <v>#DIV/0!</v>
      </c>
    </row>
    <row r="69" spans="1:9" x14ac:dyDescent="0.2">
      <c r="A69">
        <v>3</v>
      </c>
      <c r="D69" s="2" t="e">
        <f t="shared" si="20"/>
        <v>#DIV/0!</v>
      </c>
      <c r="F69">
        <v>3</v>
      </c>
      <c r="I69" s="2" t="e">
        <f t="shared" si="21"/>
        <v>#DIV/0!</v>
      </c>
    </row>
    <row r="70" spans="1:9" x14ac:dyDescent="0.2">
      <c r="A70">
        <v>4</v>
      </c>
      <c r="D70" s="2" t="e">
        <f t="shared" si="20"/>
        <v>#DIV/0!</v>
      </c>
      <c r="F70">
        <v>4</v>
      </c>
      <c r="I70" s="2" t="e">
        <f t="shared" si="21"/>
        <v>#DIV/0!</v>
      </c>
    </row>
    <row r="71" spans="1:9" x14ac:dyDescent="0.2">
      <c r="A71">
        <v>5</v>
      </c>
      <c r="D71" s="2" t="e">
        <f t="shared" si="20"/>
        <v>#DIV/0!</v>
      </c>
      <c r="F71">
        <v>5</v>
      </c>
      <c r="I71" s="2" t="e">
        <f t="shared" si="21"/>
        <v>#DIV/0!</v>
      </c>
    </row>
    <row r="72" spans="1:9" x14ac:dyDescent="0.2">
      <c r="A72" s="1" t="s">
        <v>7</v>
      </c>
      <c r="B72" t="e">
        <f>AVERAGE(B67:B71)</f>
        <v>#DIV/0!</v>
      </c>
      <c r="C72" t="e">
        <f t="shared" ref="C72:D72" si="22">AVERAGE(C67:C71)</f>
        <v>#DIV/0!</v>
      </c>
      <c r="D72" s="3" t="e">
        <f t="shared" si="22"/>
        <v>#DIV/0!</v>
      </c>
      <c r="F72" s="1" t="s">
        <v>7</v>
      </c>
      <c r="G72" t="e">
        <f>AVERAGE(G67:G71)</f>
        <v>#DIV/0!</v>
      </c>
      <c r="H72" t="e">
        <f t="shared" ref="H72:I72" si="23">AVERAGE(H67:H71)</f>
        <v>#DIV/0!</v>
      </c>
      <c r="I72" s="3" t="e">
        <f t="shared" si="23"/>
        <v>#DIV/0!</v>
      </c>
    </row>
    <row r="76" spans="1:9" x14ac:dyDescent="0.2">
      <c r="A76" s="1" t="s">
        <v>19</v>
      </c>
    </row>
    <row r="77" spans="1:9" x14ac:dyDescent="0.2">
      <c r="A77" s="1" t="s">
        <v>22</v>
      </c>
      <c r="B77" t="s">
        <v>8</v>
      </c>
    </row>
    <row r="78" spans="1:9" x14ac:dyDescent="0.2">
      <c r="A78" s="1"/>
    </row>
    <row r="79" spans="1:9" x14ac:dyDescent="0.2">
      <c r="A79" s="1" t="s">
        <v>1</v>
      </c>
      <c r="B79" s="1" t="s">
        <v>3</v>
      </c>
      <c r="C79" s="1" t="s">
        <v>2</v>
      </c>
      <c r="D79" s="1" t="s">
        <v>4</v>
      </c>
      <c r="F79" s="1" t="s">
        <v>5</v>
      </c>
      <c r="G79" s="1" t="s">
        <v>3</v>
      </c>
      <c r="H79" s="1" t="s">
        <v>2</v>
      </c>
      <c r="I79" s="1" t="s">
        <v>4</v>
      </c>
    </row>
    <row r="80" spans="1:9" x14ac:dyDescent="0.2">
      <c r="A80">
        <v>1</v>
      </c>
      <c r="D80" s="2" t="e">
        <f>B80/C80</f>
        <v>#DIV/0!</v>
      </c>
      <c r="F80">
        <v>1</v>
      </c>
      <c r="I80" s="2" t="e">
        <f>G80/H80</f>
        <v>#DIV/0!</v>
      </c>
    </row>
    <row r="81" spans="1:9" x14ac:dyDescent="0.2">
      <c r="A81">
        <v>2</v>
      </c>
      <c r="D81" s="2" t="e">
        <f t="shared" ref="D81:D84" si="24">B81/C81</f>
        <v>#DIV/0!</v>
      </c>
      <c r="F81">
        <v>2</v>
      </c>
      <c r="I81" s="2" t="e">
        <f t="shared" ref="I81:I84" si="25">G81/H81</f>
        <v>#DIV/0!</v>
      </c>
    </row>
    <row r="82" spans="1:9" x14ac:dyDescent="0.2">
      <c r="A82">
        <v>3</v>
      </c>
      <c r="D82" s="2" t="e">
        <f t="shared" si="24"/>
        <v>#DIV/0!</v>
      </c>
      <c r="F82">
        <v>3</v>
      </c>
      <c r="I82" s="2" t="e">
        <f t="shared" si="25"/>
        <v>#DIV/0!</v>
      </c>
    </row>
    <row r="83" spans="1:9" x14ac:dyDescent="0.2">
      <c r="A83">
        <v>4</v>
      </c>
      <c r="D83" s="2" t="e">
        <f t="shared" si="24"/>
        <v>#DIV/0!</v>
      </c>
      <c r="F83">
        <v>4</v>
      </c>
      <c r="I83" s="2" t="e">
        <f t="shared" si="25"/>
        <v>#DIV/0!</v>
      </c>
    </row>
    <row r="84" spans="1:9" x14ac:dyDescent="0.2">
      <c r="A84">
        <v>5</v>
      </c>
      <c r="D84" s="2" t="e">
        <f t="shared" si="24"/>
        <v>#DIV/0!</v>
      </c>
      <c r="F84">
        <v>5</v>
      </c>
      <c r="I84" s="2" t="e">
        <f t="shared" si="25"/>
        <v>#DIV/0!</v>
      </c>
    </row>
    <row r="85" spans="1:9" x14ac:dyDescent="0.2">
      <c r="A85" s="1" t="s">
        <v>7</v>
      </c>
      <c r="B85" t="e">
        <f>AVERAGE(B80:B84)</f>
        <v>#DIV/0!</v>
      </c>
      <c r="C85" t="e">
        <f t="shared" ref="C85:D85" si="26">AVERAGE(C80:C84)</f>
        <v>#DIV/0!</v>
      </c>
      <c r="D85" s="3" t="e">
        <f t="shared" si="26"/>
        <v>#DIV/0!</v>
      </c>
      <c r="F85" s="1" t="s">
        <v>7</v>
      </c>
      <c r="G85" t="e">
        <f>AVERAGE(G80:G84)</f>
        <v>#DIV/0!</v>
      </c>
      <c r="H85" t="e">
        <f t="shared" ref="H85:I85" si="27">AVERAGE(H80:H84)</f>
        <v>#DIV/0!</v>
      </c>
      <c r="I85" s="3" t="e">
        <f t="shared" si="27"/>
        <v>#DIV/0!</v>
      </c>
    </row>
    <row r="89" spans="1:9" x14ac:dyDescent="0.2">
      <c r="A89" s="1" t="s">
        <v>23</v>
      </c>
      <c r="B89" t="s">
        <v>8</v>
      </c>
    </row>
    <row r="90" spans="1:9" x14ac:dyDescent="0.2">
      <c r="A90" s="1"/>
    </row>
    <row r="91" spans="1:9" x14ac:dyDescent="0.2">
      <c r="A91" s="1" t="s">
        <v>1</v>
      </c>
      <c r="B91" s="1" t="s">
        <v>3</v>
      </c>
      <c r="C91" s="1" t="s">
        <v>2</v>
      </c>
      <c r="D91" s="1" t="s">
        <v>4</v>
      </c>
      <c r="F91" s="1" t="s">
        <v>5</v>
      </c>
      <c r="G91" s="1" t="s">
        <v>3</v>
      </c>
      <c r="H91" s="1" t="s">
        <v>2</v>
      </c>
      <c r="I91" s="1" t="s">
        <v>4</v>
      </c>
    </row>
    <row r="92" spans="1:9" x14ac:dyDescent="0.2">
      <c r="A92">
        <v>1</v>
      </c>
      <c r="D92" s="2" t="e">
        <f>B92/C92</f>
        <v>#DIV/0!</v>
      </c>
      <c r="F92">
        <v>1</v>
      </c>
      <c r="I92" s="2" t="e">
        <f>G92/H92</f>
        <v>#DIV/0!</v>
      </c>
    </row>
    <row r="93" spans="1:9" x14ac:dyDescent="0.2">
      <c r="A93">
        <v>2</v>
      </c>
      <c r="D93" s="2" t="e">
        <f t="shared" ref="D93:D96" si="28">B93/C93</f>
        <v>#DIV/0!</v>
      </c>
      <c r="F93">
        <v>2</v>
      </c>
      <c r="I93" s="2" t="e">
        <f t="shared" ref="I93:I96" si="29">G93/H93</f>
        <v>#DIV/0!</v>
      </c>
    </row>
    <row r="94" spans="1:9" x14ac:dyDescent="0.2">
      <c r="A94">
        <v>3</v>
      </c>
      <c r="D94" s="2" t="e">
        <f t="shared" si="28"/>
        <v>#DIV/0!</v>
      </c>
      <c r="F94">
        <v>3</v>
      </c>
      <c r="I94" s="2" t="e">
        <f t="shared" si="29"/>
        <v>#DIV/0!</v>
      </c>
    </row>
    <row r="95" spans="1:9" x14ac:dyDescent="0.2">
      <c r="A95">
        <v>4</v>
      </c>
      <c r="D95" s="2" t="e">
        <f t="shared" si="28"/>
        <v>#DIV/0!</v>
      </c>
      <c r="F95">
        <v>4</v>
      </c>
      <c r="I95" s="2" t="e">
        <f t="shared" si="29"/>
        <v>#DIV/0!</v>
      </c>
    </row>
    <row r="96" spans="1:9" x14ac:dyDescent="0.2">
      <c r="A96">
        <v>5</v>
      </c>
      <c r="D96" s="2" t="e">
        <f t="shared" si="28"/>
        <v>#DIV/0!</v>
      </c>
      <c r="F96">
        <v>5</v>
      </c>
      <c r="I96" s="2" t="e">
        <f t="shared" si="29"/>
        <v>#DIV/0!</v>
      </c>
    </row>
    <row r="97" spans="1:9" x14ac:dyDescent="0.2">
      <c r="A97" s="1" t="s">
        <v>7</v>
      </c>
      <c r="B97" t="e">
        <f>AVERAGE(B92:B96)</f>
        <v>#DIV/0!</v>
      </c>
      <c r="C97" t="e">
        <f t="shared" ref="C97:D97" si="30">AVERAGE(C92:C96)</f>
        <v>#DIV/0!</v>
      </c>
      <c r="D97" s="3" t="e">
        <f t="shared" si="30"/>
        <v>#DIV/0!</v>
      </c>
      <c r="F97" s="1" t="s">
        <v>7</v>
      </c>
      <c r="G97" t="e">
        <f>AVERAGE(G92:G96)</f>
        <v>#DIV/0!</v>
      </c>
      <c r="H97" t="e">
        <f t="shared" ref="H97:I97" si="31">AVERAGE(H92:H96)</f>
        <v>#DIV/0!</v>
      </c>
      <c r="I97" s="3" t="e">
        <f t="shared" si="31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1669-E06A-754E-8936-DD9BC87E04F5}">
  <dimension ref="A1:I122"/>
  <sheetViews>
    <sheetView topLeftCell="A94" workbookViewId="0">
      <selection activeCell="G122" sqref="G122"/>
    </sheetView>
  </sheetViews>
  <sheetFormatPr baseColWidth="10" defaultRowHeight="16" x14ac:dyDescent="0.2"/>
  <cols>
    <col min="2" max="2" width="11.1640625" bestFit="1" customWidth="1"/>
    <col min="4" max="4" width="16" bestFit="1" customWidth="1"/>
    <col min="7" max="7" width="11.6640625" bestFit="1" customWidth="1"/>
    <col min="9" max="9" width="16.83203125" bestFit="1" customWidth="1"/>
  </cols>
  <sheetData>
    <row r="1" spans="1:9" x14ac:dyDescent="0.2">
      <c r="A1" s="1" t="s">
        <v>16</v>
      </c>
    </row>
    <row r="2" spans="1:9" x14ac:dyDescent="0.2">
      <c r="A2" s="1" t="s">
        <v>14</v>
      </c>
      <c r="B2" t="s">
        <v>8</v>
      </c>
    </row>
    <row r="3" spans="1:9" x14ac:dyDescent="0.2">
      <c r="A3" s="1"/>
    </row>
    <row r="4" spans="1:9" x14ac:dyDescent="0.2">
      <c r="A4" s="1" t="s">
        <v>1</v>
      </c>
      <c r="B4" s="1" t="s">
        <v>3</v>
      </c>
      <c r="C4" s="1" t="s">
        <v>2</v>
      </c>
      <c r="D4" s="1" t="s">
        <v>4</v>
      </c>
      <c r="F4" s="1" t="s">
        <v>5</v>
      </c>
      <c r="G4" s="1" t="s">
        <v>3</v>
      </c>
      <c r="H4" s="1" t="s">
        <v>2</v>
      </c>
      <c r="I4" s="1" t="s">
        <v>4</v>
      </c>
    </row>
    <row r="5" spans="1:9" x14ac:dyDescent="0.2">
      <c r="A5">
        <v>1</v>
      </c>
      <c r="B5">
        <v>-5</v>
      </c>
      <c r="C5">
        <v>9</v>
      </c>
      <c r="D5" s="2">
        <f>B5/C5</f>
        <v>-0.55555555555555558</v>
      </c>
      <c r="F5">
        <v>1</v>
      </c>
      <c r="G5">
        <v>261</v>
      </c>
      <c r="H5">
        <v>7</v>
      </c>
      <c r="I5" s="2">
        <f>G5/H5</f>
        <v>37.285714285714285</v>
      </c>
    </row>
    <row r="6" spans="1:9" x14ac:dyDescent="0.2">
      <c r="A6">
        <v>2</v>
      </c>
      <c r="B6">
        <v>-6</v>
      </c>
      <c r="C6">
        <v>9</v>
      </c>
      <c r="D6" s="2">
        <f t="shared" ref="D6:D9" si="0">B6/C6</f>
        <v>-0.66666666666666663</v>
      </c>
      <c r="F6">
        <v>2</v>
      </c>
      <c r="G6">
        <v>261</v>
      </c>
      <c r="H6">
        <v>7</v>
      </c>
      <c r="I6" s="2">
        <f t="shared" ref="I6:I9" si="1">G6/H6</f>
        <v>37.285714285714285</v>
      </c>
    </row>
    <row r="7" spans="1:9" x14ac:dyDescent="0.2">
      <c r="A7">
        <v>3</v>
      </c>
      <c r="B7">
        <v>-5</v>
      </c>
      <c r="C7">
        <v>10</v>
      </c>
      <c r="D7" s="2">
        <f t="shared" si="0"/>
        <v>-0.5</v>
      </c>
      <c r="F7">
        <v>3</v>
      </c>
      <c r="G7">
        <v>261</v>
      </c>
      <c r="H7">
        <v>7</v>
      </c>
      <c r="I7" s="2">
        <f t="shared" si="1"/>
        <v>37.285714285714285</v>
      </c>
    </row>
    <row r="8" spans="1:9" x14ac:dyDescent="0.2">
      <c r="A8">
        <v>4</v>
      </c>
      <c r="B8">
        <v>-5</v>
      </c>
      <c r="C8">
        <v>10</v>
      </c>
      <c r="D8" s="2">
        <f t="shared" si="0"/>
        <v>-0.5</v>
      </c>
      <c r="F8">
        <v>4</v>
      </c>
      <c r="G8">
        <v>260</v>
      </c>
      <c r="H8">
        <v>7</v>
      </c>
      <c r="I8" s="2">
        <f t="shared" si="1"/>
        <v>37.142857142857146</v>
      </c>
    </row>
    <row r="9" spans="1:9" x14ac:dyDescent="0.2">
      <c r="A9">
        <v>5</v>
      </c>
      <c r="B9">
        <v>-5</v>
      </c>
      <c r="C9">
        <v>10</v>
      </c>
      <c r="D9" s="2">
        <f t="shared" si="0"/>
        <v>-0.5</v>
      </c>
      <c r="F9">
        <v>5</v>
      </c>
      <c r="G9">
        <v>259</v>
      </c>
      <c r="H9">
        <v>7</v>
      </c>
      <c r="I9" s="2">
        <f t="shared" si="1"/>
        <v>37</v>
      </c>
    </row>
    <row r="10" spans="1:9" x14ac:dyDescent="0.2">
      <c r="A10" s="1" t="s">
        <v>7</v>
      </c>
      <c r="B10">
        <f>AVERAGE(B5:B9)</f>
        <v>-5.2</v>
      </c>
      <c r="C10">
        <f t="shared" ref="C10:D10" si="2">AVERAGE(C5:C9)</f>
        <v>9.6</v>
      </c>
      <c r="D10" s="3">
        <f t="shared" si="2"/>
        <v>-0.54444444444444451</v>
      </c>
      <c r="F10" s="1" t="s">
        <v>7</v>
      </c>
      <c r="G10">
        <f>AVERAGE(G5:G9)</f>
        <v>260.39999999999998</v>
      </c>
      <c r="H10">
        <f t="shared" ref="H10:I10" si="3">AVERAGE(H5:H9)</f>
        <v>7</v>
      </c>
      <c r="I10" s="3">
        <f t="shared" si="3"/>
        <v>37.200000000000003</v>
      </c>
    </row>
    <row r="14" spans="1:9" x14ac:dyDescent="0.2">
      <c r="A14" s="1" t="s">
        <v>15</v>
      </c>
      <c r="B14" t="s">
        <v>8</v>
      </c>
    </row>
    <row r="15" spans="1:9" x14ac:dyDescent="0.2">
      <c r="A15" s="1"/>
    </row>
    <row r="16" spans="1:9" x14ac:dyDescent="0.2">
      <c r="A16" s="1" t="s">
        <v>1</v>
      </c>
      <c r="B16" s="1" t="s">
        <v>3</v>
      </c>
      <c r="C16" s="1" t="s">
        <v>2</v>
      </c>
      <c r="D16" s="1" t="s">
        <v>4</v>
      </c>
      <c r="F16" s="1" t="s">
        <v>5</v>
      </c>
      <c r="G16" s="1" t="s">
        <v>3</v>
      </c>
      <c r="H16" s="1" t="s">
        <v>2</v>
      </c>
      <c r="I16" s="1" t="s">
        <v>4</v>
      </c>
    </row>
    <row r="17" spans="1:9" x14ac:dyDescent="0.2">
      <c r="A17">
        <v>1</v>
      </c>
      <c r="B17">
        <v>375</v>
      </c>
      <c r="C17">
        <v>8</v>
      </c>
      <c r="D17" s="2">
        <f>B17/C17</f>
        <v>46.875</v>
      </c>
      <c r="F17">
        <v>1</v>
      </c>
      <c r="G17">
        <v>375</v>
      </c>
      <c r="H17">
        <v>7</v>
      </c>
      <c r="I17" s="2">
        <f>G17/H17</f>
        <v>53.571428571428569</v>
      </c>
    </row>
    <row r="18" spans="1:9" x14ac:dyDescent="0.2">
      <c r="A18">
        <v>2</v>
      </c>
      <c r="B18">
        <v>374</v>
      </c>
      <c r="C18">
        <v>8</v>
      </c>
      <c r="D18" s="2">
        <f t="shared" ref="D18:D21" si="4">B18/C18</f>
        <v>46.75</v>
      </c>
      <c r="F18">
        <v>2</v>
      </c>
      <c r="G18">
        <v>377</v>
      </c>
      <c r="H18">
        <v>7</v>
      </c>
      <c r="I18" s="2">
        <f t="shared" ref="I18:I21" si="5">G18/H18</f>
        <v>53.857142857142854</v>
      </c>
    </row>
    <row r="19" spans="1:9" x14ac:dyDescent="0.2">
      <c r="A19">
        <v>3</v>
      </c>
      <c r="B19">
        <v>375</v>
      </c>
      <c r="C19">
        <v>8</v>
      </c>
      <c r="D19" s="2">
        <f t="shared" si="4"/>
        <v>46.875</v>
      </c>
      <c r="F19">
        <v>3</v>
      </c>
      <c r="G19">
        <v>379</v>
      </c>
      <c r="H19">
        <v>7</v>
      </c>
      <c r="I19" s="2">
        <f t="shared" si="5"/>
        <v>54.142857142857146</v>
      </c>
    </row>
    <row r="20" spans="1:9" x14ac:dyDescent="0.2">
      <c r="A20">
        <v>4</v>
      </c>
      <c r="B20">
        <v>379</v>
      </c>
      <c r="C20">
        <v>8</v>
      </c>
      <c r="D20" s="2">
        <f t="shared" si="4"/>
        <v>47.375</v>
      </c>
      <c r="F20">
        <v>4</v>
      </c>
      <c r="G20">
        <v>381</v>
      </c>
      <c r="H20">
        <v>7</v>
      </c>
      <c r="I20" s="2">
        <f t="shared" si="5"/>
        <v>54.428571428571431</v>
      </c>
    </row>
    <row r="21" spans="1:9" x14ac:dyDescent="0.2">
      <c r="A21">
        <v>5</v>
      </c>
      <c r="B21">
        <v>379</v>
      </c>
      <c r="C21">
        <v>8</v>
      </c>
      <c r="D21" s="2">
        <f t="shared" si="4"/>
        <v>47.375</v>
      </c>
      <c r="F21">
        <v>5</v>
      </c>
      <c r="G21">
        <v>382</v>
      </c>
      <c r="H21">
        <v>7</v>
      </c>
      <c r="I21" s="2">
        <f t="shared" si="5"/>
        <v>54.571428571428569</v>
      </c>
    </row>
    <row r="22" spans="1:9" x14ac:dyDescent="0.2">
      <c r="A22" s="1" t="s">
        <v>7</v>
      </c>
      <c r="B22">
        <f>AVERAGE(B17:B21)</f>
        <v>376.4</v>
      </c>
      <c r="C22">
        <f t="shared" ref="C22:D22" si="6">AVERAGE(C17:C21)</f>
        <v>8</v>
      </c>
      <c r="D22" s="3">
        <f t="shared" si="6"/>
        <v>47.05</v>
      </c>
      <c r="F22" s="1" t="s">
        <v>7</v>
      </c>
      <c r="G22">
        <f>AVERAGE(G17:G21)</f>
        <v>378.8</v>
      </c>
      <c r="H22">
        <f t="shared" ref="H22:I22" si="7">AVERAGE(H17:H21)</f>
        <v>7</v>
      </c>
      <c r="I22" s="3">
        <f t="shared" si="7"/>
        <v>54.114285714285714</v>
      </c>
    </row>
    <row r="26" spans="1:9" x14ac:dyDescent="0.2">
      <c r="A26" s="1" t="s">
        <v>17</v>
      </c>
    </row>
    <row r="27" spans="1:9" x14ac:dyDescent="0.2">
      <c r="A27" s="1" t="s">
        <v>14</v>
      </c>
      <c r="B27" t="s">
        <v>8</v>
      </c>
    </row>
    <row r="28" spans="1:9" x14ac:dyDescent="0.2">
      <c r="A28" s="1"/>
    </row>
    <row r="29" spans="1:9" x14ac:dyDescent="0.2">
      <c r="A29" s="1" t="s">
        <v>1</v>
      </c>
      <c r="B29" s="1" t="s">
        <v>3</v>
      </c>
      <c r="C29" s="1" t="s">
        <v>2</v>
      </c>
      <c r="D29" s="1" t="s">
        <v>4</v>
      </c>
      <c r="F29" s="1" t="s">
        <v>5</v>
      </c>
      <c r="G29" s="1" t="s">
        <v>3</v>
      </c>
      <c r="H29" s="1" t="s">
        <v>2</v>
      </c>
      <c r="I29" s="1" t="s">
        <v>4</v>
      </c>
    </row>
    <row r="30" spans="1:9" x14ac:dyDescent="0.2">
      <c r="A30">
        <v>1</v>
      </c>
      <c r="B30">
        <v>-3</v>
      </c>
      <c r="C30">
        <v>9</v>
      </c>
      <c r="D30" s="2">
        <f>B30/C30</f>
        <v>-0.33333333333333331</v>
      </c>
      <c r="F30">
        <v>1</v>
      </c>
      <c r="G30">
        <v>304</v>
      </c>
      <c r="H30">
        <v>8</v>
      </c>
      <c r="I30" s="2">
        <f>G30/H30</f>
        <v>38</v>
      </c>
    </row>
    <row r="31" spans="1:9" x14ac:dyDescent="0.2">
      <c r="A31">
        <v>2</v>
      </c>
      <c r="B31">
        <v>-2</v>
      </c>
      <c r="C31">
        <v>10</v>
      </c>
      <c r="D31" s="2">
        <f t="shared" ref="D31:D34" si="8">B31/C31</f>
        <v>-0.2</v>
      </c>
      <c r="F31">
        <v>2</v>
      </c>
      <c r="G31">
        <v>305</v>
      </c>
      <c r="H31">
        <v>7</v>
      </c>
      <c r="I31" s="2">
        <f t="shared" ref="I31:I34" si="9">G31/H31</f>
        <v>43.571428571428569</v>
      </c>
    </row>
    <row r="32" spans="1:9" x14ac:dyDescent="0.2">
      <c r="A32">
        <v>3</v>
      </c>
      <c r="B32">
        <v>-1</v>
      </c>
      <c r="C32">
        <v>9</v>
      </c>
      <c r="D32" s="2">
        <f t="shared" si="8"/>
        <v>-0.1111111111111111</v>
      </c>
      <c r="F32">
        <v>3</v>
      </c>
      <c r="G32">
        <v>304</v>
      </c>
      <c r="H32">
        <v>7</v>
      </c>
      <c r="I32" s="2">
        <f t="shared" si="9"/>
        <v>43.428571428571431</v>
      </c>
    </row>
    <row r="33" spans="1:9" x14ac:dyDescent="0.2">
      <c r="A33">
        <v>4</v>
      </c>
      <c r="B33">
        <v>-2</v>
      </c>
      <c r="C33">
        <v>10</v>
      </c>
      <c r="D33" s="2">
        <f t="shared" si="8"/>
        <v>-0.2</v>
      </c>
      <c r="F33">
        <v>4</v>
      </c>
      <c r="G33">
        <v>304</v>
      </c>
      <c r="H33">
        <v>7</v>
      </c>
      <c r="I33" s="2">
        <f t="shared" si="9"/>
        <v>43.428571428571431</v>
      </c>
    </row>
    <row r="34" spans="1:9" x14ac:dyDescent="0.2">
      <c r="A34">
        <v>5</v>
      </c>
      <c r="B34">
        <v>-3</v>
      </c>
      <c r="C34">
        <v>9</v>
      </c>
      <c r="D34" s="2">
        <f t="shared" si="8"/>
        <v>-0.33333333333333331</v>
      </c>
      <c r="F34">
        <v>5</v>
      </c>
      <c r="G34">
        <v>304</v>
      </c>
      <c r="H34">
        <v>7</v>
      </c>
      <c r="I34" s="2">
        <f t="shared" si="9"/>
        <v>43.428571428571431</v>
      </c>
    </row>
    <row r="35" spans="1:9" x14ac:dyDescent="0.2">
      <c r="A35" s="1" t="s">
        <v>7</v>
      </c>
      <c r="B35">
        <f>AVERAGE(B30:B34)</f>
        <v>-2.2000000000000002</v>
      </c>
      <c r="C35">
        <f t="shared" ref="C35:D35" si="10">AVERAGE(C30:C34)</f>
        <v>9.4</v>
      </c>
      <c r="D35" s="3">
        <f t="shared" si="10"/>
        <v>-0.23555555555555552</v>
      </c>
      <c r="F35" s="1" t="s">
        <v>7</v>
      </c>
      <c r="G35">
        <f>AVERAGE(G30:G34)</f>
        <v>304.2</v>
      </c>
      <c r="H35">
        <f t="shared" ref="H35:I35" si="11">AVERAGE(H30:H34)</f>
        <v>7.2</v>
      </c>
      <c r="I35" s="3">
        <f t="shared" si="11"/>
        <v>42.371428571428581</v>
      </c>
    </row>
    <row r="39" spans="1:9" x14ac:dyDescent="0.2">
      <c r="A39" s="1" t="s">
        <v>15</v>
      </c>
      <c r="B39" t="s">
        <v>8</v>
      </c>
    </row>
    <row r="40" spans="1:9" x14ac:dyDescent="0.2">
      <c r="A40" s="1"/>
    </row>
    <row r="41" spans="1:9" x14ac:dyDescent="0.2">
      <c r="A41" s="1" t="s">
        <v>1</v>
      </c>
      <c r="B41" s="1" t="s">
        <v>3</v>
      </c>
      <c r="C41" s="1" t="s">
        <v>2</v>
      </c>
      <c r="D41" s="1" t="s">
        <v>4</v>
      </c>
      <c r="F41" s="1" t="s">
        <v>5</v>
      </c>
      <c r="G41" s="1" t="s">
        <v>3</v>
      </c>
      <c r="H41" s="1" t="s">
        <v>2</v>
      </c>
      <c r="I41" s="1" t="s">
        <v>4</v>
      </c>
    </row>
    <row r="42" spans="1:9" x14ac:dyDescent="0.2">
      <c r="A42">
        <v>1</v>
      </c>
      <c r="B42">
        <v>407</v>
      </c>
      <c r="C42">
        <v>8</v>
      </c>
      <c r="D42" s="2">
        <f>B42/C42</f>
        <v>50.875</v>
      </c>
      <c r="F42">
        <v>1</v>
      </c>
      <c r="G42">
        <v>433</v>
      </c>
      <c r="H42">
        <v>7</v>
      </c>
      <c r="I42" s="2">
        <f>G42/H42</f>
        <v>61.857142857142854</v>
      </c>
    </row>
    <row r="43" spans="1:9" x14ac:dyDescent="0.2">
      <c r="A43">
        <v>2</v>
      </c>
      <c r="B43">
        <v>410</v>
      </c>
      <c r="C43">
        <v>8</v>
      </c>
      <c r="D43" s="2">
        <f t="shared" ref="D43:D46" si="12">B43/C43</f>
        <v>51.25</v>
      </c>
      <c r="F43">
        <v>2</v>
      </c>
      <c r="G43">
        <v>435</v>
      </c>
      <c r="H43">
        <v>7</v>
      </c>
      <c r="I43" s="2">
        <f t="shared" ref="I43:I46" si="13">G43/H43</f>
        <v>62.142857142857146</v>
      </c>
    </row>
    <row r="44" spans="1:9" x14ac:dyDescent="0.2">
      <c r="A44">
        <v>3</v>
      </c>
      <c r="B44">
        <v>410</v>
      </c>
      <c r="C44">
        <v>8</v>
      </c>
      <c r="D44" s="2">
        <f t="shared" si="12"/>
        <v>51.25</v>
      </c>
      <c r="F44">
        <v>3</v>
      </c>
      <c r="G44">
        <v>434</v>
      </c>
      <c r="H44">
        <v>7</v>
      </c>
      <c r="I44" s="2">
        <f t="shared" si="13"/>
        <v>62</v>
      </c>
    </row>
    <row r="45" spans="1:9" x14ac:dyDescent="0.2">
      <c r="A45">
        <v>4</v>
      </c>
      <c r="B45">
        <v>411</v>
      </c>
      <c r="C45">
        <v>8</v>
      </c>
      <c r="D45" s="2">
        <f t="shared" si="12"/>
        <v>51.375</v>
      </c>
      <c r="F45">
        <v>4</v>
      </c>
      <c r="G45">
        <v>434</v>
      </c>
      <c r="H45">
        <v>7</v>
      </c>
      <c r="I45" s="2">
        <f t="shared" si="13"/>
        <v>62</v>
      </c>
    </row>
    <row r="46" spans="1:9" x14ac:dyDescent="0.2">
      <c r="A46">
        <v>5</v>
      </c>
      <c r="B46">
        <v>411</v>
      </c>
      <c r="C46">
        <v>8</v>
      </c>
      <c r="D46" s="2">
        <f t="shared" si="12"/>
        <v>51.375</v>
      </c>
      <c r="F46">
        <v>5</v>
      </c>
      <c r="G46">
        <v>433</v>
      </c>
      <c r="H46">
        <v>8</v>
      </c>
      <c r="I46" s="2">
        <f t="shared" si="13"/>
        <v>54.125</v>
      </c>
    </row>
    <row r="47" spans="1:9" x14ac:dyDescent="0.2">
      <c r="A47" s="1" t="s">
        <v>7</v>
      </c>
      <c r="B47">
        <f>AVERAGE(B42:B46)</f>
        <v>409.8</v>
      </c>
      <c r="C47">
        <f t="shared" ref="C47:D47" si="14">AVERAGE(C42:C46)</f>
        <v>8</v>
      </c>
      <c r="D47" s="3">
        <f t="shared" si="14"/>
        <v>51.225000000000001</v>
      </c>
      <c r="F47" s="1" t="s">
        <v>7</v>
      </c>
      <c r="G47">
        <f>AVERAGE(G42:G46)</f>
        <v>433.8</v>
      </c>
      <c r="H47">
        <f t="shared" ref="H47:I47" si="15">AVERAGE(H42:H46)</f>
        <v>7.2</v>
      </c>
      <c r="I47" s="3">
        <f t="shared" si="15"/>
        <v>60.424999999999997</v>
      </c>
    </row>
    <row r="51" spans="1:9" x14ac:dyDescent="0.2">
      <c r="A51" s="1" t="s">
        <v>18</v>
      </c>
    </row>
    <row r="52" spans="1:9" x14ac:dyDescent="0.2">
      <c r="A52" s="1" t="s">
        <v>14</v>
      </c>
      <c r="B52" t="s">
        <v>8</v>
      </c>
    </row>
    <row r="53" spans="1:9" x14ac:dyDescent="0.2">
      <c r="A53" s="1"/>
    </row>
    <row r="54" spans="1:9" x14ac:dyDescent="0.2">
      <c r="A54" s="1" t="s">
        <v>1</v>
      </c>
      <c r="B54" s="1" t="s">
        <v>3</v>
      </c>
      <c r="C54" s="1" t="s">
        <v>2</v>
      </c>
      <c r="D54" s="1" t="s">
        <v>4</v>
      </c>
      <c r="F54" s="1" t="s">
        <v>5</v>
      </c>
      <c r="G54" s="1" t="s">
        <v>3</v>
      </c>
      <c r="H54" s="1" t="s">
        <v>2</v>
      </c>
      <c r="I54" s="1" t="s">
        <v>4</v>
      </c>
    </row>
    <row r="55" spans="1:9" x14ac:dyDescent="0.2">
      <c r="A55">
        <v>1</v>
      </c>
      <c r="B55">
        <v>-3</v>
      </c>
      <c r="C55">
        <v>10</v>
      </c>
      <c r="D55" s="2">
        <f>B55/C55</f>
        <v>-0.3</v>
      </c>
      <c r="F55">
        <v>1</v>
      </c>
      <c r="G55">
        <v>333</v>
      </c>
      <c r="H55">
        <v>7</v>
      </c>
      <c r="I55" s="2">
        <f>G55/H55</f>
        <v>47.571428571428569</v>
      </c>
    </row>
    <row r="56" spans="1:9" x14ac:dyDescent="0.2">
      <c r="A56">
        <v>2</v>
      </c>
      <c r="B56">
        <v>-2</v>
      </c>
      <c r="C56">
        <v>10</v>
      </c>
      <c r="D56" s="2">
        <f t="shared" ref="D56:D59" si="16">B56/C56</f>
        <v>-0.2</v>
      </c>
      <c r="F56">
        <v>2</v>
      </c>
      <c r="G56">
        <v>334</v>
      </c>
      <c r="H56">
        <v>7</v>
      </c>
      <c r="I56" s="2">
        <f t="shared" ref="I56:I59" si="17">G56/H56</f>
        <v>47.714285714285715</v>
      </c>
    </row>
    <row r="57" spans="1:9" x14ac:dyDescent="0.2">
      <c r="A57">
        <v>3</v>
      </c>
      <c r="B57">
        <v>-2</v>
      </c>
      <c r="C57">
        <v>10</v>
      </c>
      <c r="D57" s="2">
        <f t="shared" si="16"/>
        <v>-0.2</v>
      </c>
      <c r="F57">
        <v>3</v>
      </c>
      <c r="G57">
        <v>336</v>
      </c>
      <c r="H57">
        <v>7</v>
      </c>
      <c r="I57" s="2">
        <f t="shared" si="17"/>
        <v>48</v>
      </c>
    </row>
    <row r="58" spans="1:9" x14ac:dyDescent="0.2">
      <c r="A58">
        <v>4</v>
      </c>
      <c r="B58">
        <v>-4</v>
      </c>
      <c r="C58">
        <v>10</v>
      </c>
      <c r="D58" s="2">
        <f t="shared" si="16"/>
        <v>-0.4</v>
      </c>
      <c r="F58">
        <v>4</v>
      </c>
      <c r="G58">
        <v>336</v>
      </c>
      <c r="H58">
        <v>7</v>
      </c>
      <c r="I58" s="2">
        <f t="shared" si="17"/>
        <v>48</v>
      </c>
    </row>
    <row r="59" spans="1:9" x14ac:dyDescent="0.2">
      <c r="A59">
        <v>5</v>
      </c>
      <c r="B59">
        <v>-3</v>
      </c>
      <c r="C59">
        <v>10</v>
      </c>
      <c r="D59" s="2">
        <f t="shared" si="16"/>
        <v>-0.3</v>
      </c>
      <c r="F59">
        <v>5</v>
      </c>
      <c r="G59">
        <v>336</v>
      </c>
      <c r="H59">
        <v>7</v>
      </c>
      <c r="I59" s="2">
        <f t="shared" si="17"/>
        <v>48</v>
      </c>
    </row>
    <row r="60" spans="1:9" x14ac:dyDescent="0.2">
      <c r="A60" s="1" t="s">
        <v>7</v>
      </c>
      <c r="B60">
        <f>AVERAGE(B55:B59)</f>
        <v>-2.8</v>
      </c>
      <c r="C60">
        <f t="shared" ref="C60:D60" si="18">AVERAGE(C55:C59)</f>
        <v>10</v>
      </c>
      <c r="D60" s="3">
        <f t="shared" si="18"/>
        <v>-0.28000000000000003</v>
      </c>
      <c r="F60" s="1" t="s">
        <v>7</v>
      </c>
      <c r="G60">
        <f>AVERAGE(G55:G59)</f>
        <v>335</v>
      </c>
      <c r="H60">
        <f t="shared" ref="H60:I60" si="19">AVERAGE(H55:H59)</f>
        <v>7</v>
      </c>
      <c r="I60" s="3">
        <f t="shared" si="19"/>
        <v>47.857142857142854</v>
      </c>
    </row>
    <row r="64" spans="1:9" x14ac:dyDescent="0.2">
      <c r="A64" s="1" t="s">
        <v>15</v>
      </c>
      <c r="B64" t="s">
        <v>8</v>
      </c>
    </row>
    <row r="65" spans="1:9" x14ac:dyDescent="0.2">
      <c r="A65" s="1"/>
    </row>
    <row r="66" spans="1:9" x14ac:dyDescent="0.2">
      <c r="A66" s="1" t="s">
        <v>1</v>
      </c>
      <c r="B66" s="1" t="s">
        <v>3</v>
      </c>
      <c r="C66" s="1" t="s">
        <v>2</v>
      </c>
      <c r="D66" s="1" t="s">
        <v>4</v>
      </c>
      <c r="F66" s="1" t="s">
        <v>5</v>
      </c>
      <c r="G66" s="1" t="s">
        <v>3</v>
      </c>
      <c r="H66" s="1" t="s">
        <v>2</v>
      </c>
      <c r="I66" s="1" t="s">
        <v>4</v>
      </c>
    </row>
    <row r="67" spans="1:9" x14ac:dyDescent="0.2">
      <c r="A67">
        <v>1</v>
      </c>
      <c r="B67">
        <v>426</v>
      </c>
      <c r="C67">
        <v>8</v>
      </c>
      <c r="D67" s="2">
        <f>B67/C67</f>
        <v>53.25</v>
      </c>
      <c r="F67">
        <v>1</v>
      </c>
      <c r="G67">
        <v>556</v>
      </c>
      <c r="H67">
        <v>7</v>
      </c>
      <c r="I67" s="2">
        <f>G67/H67</f>
        <v>79.428571428571431</v>
      </c>
    </row>
    <row r="68" spans="1:9" x14ac:dyDescent="0.2">
      <c r="A68">
        <v>2</v>
      </c>
      <c r="B68">
        <v>428</v>
      </c>
      <c r="C68">
        <v>8</v>
      </c>
      <c r="D68" s="2">
        <f t="shared" ref="D68:D71" si="20">B68/C68</f>
        <v>53.5</v>
      </c>
      <c r="F68">
        <v>2</v>
      </c>
      <c r="G68">
        <v>559</v>
      </c>
      <c r="H68">
        <v>7</v>
      </c>
      <c r="I68" s="2">
        <f t="shared" ref="I68:I71" si="21">G68/H68</f>
        <v>79.857142857142861</v>
      </c>
    </row>
    <row r="69" spans="1:9" x14ac:dyDescent="0.2">
      <c r="A69">
        <v>3</v>
      </c>
      <c r="B69">
        <v>425</v>
      </c>
      <c r="C69">
        <v>8</v>
      </c>
      <c r="D69" s="2">
        <f t="shared" si="20"/>
        <v>53.125</v>
      </c>
      <c r="F69">
        <v>3</v>
      </c>
      <c r="G69">
        <v>559</v>
      </c>
      <c r="H69">
        <v>7</v>
      </c>
      <c r="I69" s="2">
        <f t="shared" si="21"/>
        <v>79.857142857142861</v>
      </c>
    </row>
    <row r="70" spans="1:9" x14ac:dyDescent="0.2">
      <c r="A70">
        <v>4</v>
      </c>
      <c r="B70">
        <v>425</v>
      </c>
      <c r="C70">
        <v>8</v>
      </c>
      <c r="D70" s="2">
        <f t="shared" si="20"/>
        <v>53.125</v>
      </c>
      <c r="F70">
        <v>4</v>
      </c>
      <c r="G70">
        <v>561</v>
      </c>
      <c r="H70">
        <v>7</v>
      </c>
      <c r="I70" s="2">
        <f t="shared" si="21"/>
        <v>80.142857142857139</v>
      </c>
    </row>
    <row r="71" spans="1:9" x14ac:dyDescent="0.2">
      <c r="A71">
        <v>5</v>
      </c>
      <c r="B71">
        <v>425</v>
      </c>
      <c r="C71">
        <v>8</v>
      </c>
      <c r="D71" s="2">
        <f t="shared" si="20"/>
        <v>53.125</v>
      </c>
      <c r="F71">
        <v>5</v>
      </c>
      <c r="G71">
        <v>562</v>
      </c>
      <c r="H71">
        <v>7</v>
      </c>
      <c r="I71" s="2">
        <f t="shared" si="21"/>
        <v>80.285714285714292</v>
      </c>
    </row>
    <row r="72" spans="1:9" x14ac:dyDescent="0.2">
      <c r="A72" s="1" t="s">
        <v>7</v>
      </c>
      <c r="B72">
        <f>AVERAGE(B67:B71)</f>
        <v>425.8</v>
      </c>
      <c r="C72">
        <f t="shared" ref="C72:D72" si="22">AVERAGE(C67:C71)</f>
        <v>8</v>
      </c>
      <c r="D72" s="3">
        <f t="shared" si="22"/>
        <v>53.225000000000001</v>
      </c>
      <c r="F72" s="1" t="s">
        <v>7</v>
      </c>
      <c r="G72">
        <f>AVERAGE(G67:G71)</f>
        <v>559.4</v>
      </c>
      <c r="H72">
        <f t="shared" ref="H72:I72" si="23">AVERAGE(H67:H71)</f>
        <v>7</v>
      </c>
      <c r="I72" s="3">
        <f t="shared" si="23"/>
        <v>79.914285714285711</v>
      </c>
    </row>
    <row r="76" spans="1:9" x14ac:dyDescent="0.2">
      <c r="A76" s="1" t="s">
        <v>19</v>
      </c>
    </row>
    <row r="77" spans="1:9" x14ac:dyDescent="0.2">
      <c r="A77" s="1" t="s">
        <v>14</v>
      </c>
      <c r="B77" t="s">
        <v>8</v>
      </c>
    </row>
    <row r="78" spans="1:9" x14ac:dyDescent="0.2">
      <c r="A78" s="1"/>
    </row>
    <row r="79" spans="1:9" x14ac:dyDescent="0.2">
      <c r="A79" s="1" t="s">
        <v>1</v>
      </c>
      <c r="B79" s="1" t="s">
        <v>3</v>
      </c>
      <c r="C79" s="1" t="s">
        <v>2</v>
      </c>
      <c r="D79" s="1" t="s">
        <v>4</v>
      </c>
      <c r="F79" s="1" t="s">
        <v>5</v>
      </c>
      <c r="G79" s="1" t="s">
        <v>3</v>
      </c>
      <c r="H79" s="1" t="s">
        <v>2</v>
      </c>
      <c r="I79" s="1" t="s">
        <v>4</v>
      </c>
    </row>
    <row r="80" spans="1:9" x14ac:dyDescent="0.2">
      <c r="A80">
        <v>1</v>
      </c>
      <c r="B80">
        <v>0</v>
      </c>
      <c r="C80">
        <v>9</v>
      </c>
      <c r="D80" s="2">
        <f>B80/C80</f>
        <v>0</v>
      </c>
      <c r="F80">
        <v>1</v>
      </c>
      <c r="G80">
        <v>343</v>
      </c>
      <c r="H80">
        <v>7</v>
      </c>
      <c r="I80" s="2">
        <f>G80/H80</f>
        <v>49</v>
      </c>
    </row>
    <row r="81" spans="1:9" x14ac:dyDescent="0.2">
      <c r="A81">
        <v>2</v>
      </c>
      <c r="B81">
        <v>0</v>
      </c>
      <c r="C81">
        <v>9</v>
      </c>
      <c r="D81" s="2">
        <f t="shared" ref="D81:D84" si="24">B81/C81</f>
        <v>0</v>
      </c>
      <c r="F81">
        <v>2</v>
      </c>
      <c r="G81">
        <v>343</v>
      </c>
      <c r="H81">
        <v>7</v>
      </c>
      <c r="I81" s="2">
        <f t="shared" ref="I81:I84" si="25">G81/H81</f>
        <v>49</v>
      </c>
    </row>
    <row r="82" spans="1:9" x14ac:dyDescent="0.2">
      <c r="A82">
        <v>3</v>
      </c>
      <c r="B82">
        <v>-1</v>
      </c>
      <c r="C82">
        <v>9</v>
      </c>
      <c r="D82" s="2">
        <f t="shared" si="24"/>
        <v>-0.1111111111111111</v>
      </c>
      <c r="F82">
        <v>3</v>
      </c>
      <c r="G82">
        <v>343</v>
      </c>
      <c r="H82">
        <v>7</v>
      </c>
      <c r="I82" s="2">
        <f t="shared" si="25"/>
        <v>49</v>
      </c>
    </row>
    <row r="83" spans="1:9" x14ac:dyDescent="0.2">
      <c r="A83">
        <v>4</v>
      </c>
      <c r="B83">
        <v>-1</v>
      </c>
      <c r="C83">
        <v>9</v>
      </c>
      <c r="D83" s="2">
        <f t="shared" si="24"/>
        <v>-0.1111111111111111</v>
      </c>
      <c r="F83">
        <v>4</v>
      </c>
      <c r="G83">
        <v>342</v>
      </c>
      <c r="H83">
        <v>7</v>
      </c>
      <c r="I83" s="2">
        <f t="shared" si="25"/>
        <v>48.857142857142854</v>
      </c>
    </row>
    <row r="84" spans="1:9" x14ac:dyDescent="0.2">
      <c r="A84">
        <v>5</v>
      </c>
      <c r="B84">
        <v>0</v>
      </c>
      <c r="C84">
        <v>9</v>
      </c>
      <c r="D84" s="2">
        <f t="shared" si="24"/>
        <v>0</v>
      </c>
      <c r="F84">
        <v>5</v>
      </c>
      <c r="G84">
        <v>343</v>
      </c>
      <c r="H84">
        <v>7</v>
      </c>
      <c r="I84" s="2">
        <f t="shared" si="25"/>
        <v>49</v>
      </c>
    </row>
    <row r="85" spans="1:9" x14ac:dyDescent="0.2">
      <c r="A85" s="1" t="s">
        <v>7</v>
      </c>
      <c r="B85">
        <f>AVERAGE(B80:B84)</f>
        <v>-0.4</v>
      </c>
      <c r="C85">
        <f t="shared" ref="C85:D85" si="26">AVERAGE(C80:C84)</f>
        <v>9</v>
      </c>
      <c r="D85" s="3">
        <f t="shared" si="26"/>
        <v>-4.4444444444444439E-2</v>
      </c>
      <c r="F85" s="1" t="s">
        <v>7</v>
      </c>
      <c r="G85">
        <f>AVERAGE(G80:G84)</f>
        <v>342.8</v>
      </c>
      <c r="H85">
        <f t="shared" ref="H85:I85" si="27">AVERAGE(H80:H84)</f>
        <v>7</v>
      </c>
      <c r="I85" s="3">
        <f t="shared" si="27"/>
        <v>48.971428571428575</v>
      </c>
    </row>
    <row r="89" spans="1:9" x14ac:dyDescent="0.2">
      <c r="A89" s="1" t="s">
        <v>15</v>
      </c>
      <c r="B89" t="s">
        <v>8</v>
      </c>
    </row>
    <row r="90" spans="1:9" x14ac:dyDescent="0.2">
      <c r="A90" s="1"/>
    </row>
    <row r="91" spans="1:9" x14ac:dyDescent="0.2">
      <c r="A91" s="1" t="s">
        <v>1</v>
      </c>
      <c r="B91" s="1" t="s">
        <v>3</v>
      </c>
      <c r="C91" s="1" t="s">
        <v>2</v>
      </c>
      <c r="D91" s="1" t="s">
        <v>4</v>
      </c>
      <c r="F91" s="1" t="s">
        <v>5</v>
      </c>
      <c r="G91" s="1" t="s">
        <v>3</v>
      </c>
      <c r="H91" s="1" t="s">
        <v>2</v>
      </c>
      <c r="I91" s="1" t="s">
        <v>4</v>
      </c>
    </row>
    <row r="92" spans="1:9" x14ac:dyDescent="0.2">
      <c r="A92">
        <v>1</v>
      </c>
      <c r="B92">
        <v>379</v>
      </c>
      <c r="C92">
        <v>8</v>
      </c>
      <c r="D92" s="2">
        <f>B92/C92</f>
        <v>47.375</v>
      </c>
      <c r="F92">
        <v>1</v>
      </c>
      <c r="G92">
        <v>524</v>
      </c>
      <c r="H92">
        <v>7</v>
      </c>
      <c r="I92" s="2">
        <f>G92/H92</f>
        <v>74.857142857142861</v>
      </c>
    </row>
    <row r="93" spans="1:9" x14ac:dyDescent="0.2">
      <c r="A93">
        <v>2</v>
      </c>
      <c r="B93">
        <v>381</v>
      </c>
      <c r="C93">
        <v>8</v>
      </c>
      <c r="D93" s="2">
        <f t="shared" ref="D93:D96" si="28">B93/C93</f>
        <v>47.625</v>
      </c>
      <c r="F93">
        <v>2</v>
      </c>
      <c r="G93">
        <v>526</v>
      </c>
      <c r="H93">
        <v>7</v>
      </c>
      <c r="I93" s="2">
        <f t="shared" ref="I93:I96" si="29">G93/H93</f>
        <v>75.142857142857139</v>
      </c>
    </row>
    <row r="94" spans="1:9" x14ac:dyDescent="0.2">
      <c r="A94">
        <v>3</v>
      </c>
      <c r="B94">
        <v>381</v>
      </c>
      <c r="C94">
        <v>8</v>
      </c>
      <c r="D94" s="2">
        <f t="shared" si="28"/>
        <v>47.625</v>
      </c>
      <c r="F94">
        <v>3</v>
      </c>
      <c r="G94">
        <v>527</v>
      </c>
      <c r="H94">
        <v>7</v>
      </c>
      <c r="I94" s="2">
        <f t="shared" si="29"/>
        <v>75.285714285714292</v>
      </c>
    </row>
    <row r="95" spans="1:9" x14ac:dyDescent="0.2">
      <c r="A95">
        <v>4</v>
      </c>
      <c r="B95">
        <v>381</v>
      </c>
      <c r="C95">
        <v>8</v>
      </c>
      <c r="D95" s="2">
        <f t="shared" si="28"/>
        <v>47.625</v>
      </c>
      <c r="F95">
        <v>4</v>
      </c>
      <c r="G95">
        <v>530</v>
      </c>
      <c r="H95">
        <v>7</v>
      </c>
      <c r="I95" s="2">
        <f t="shared" si="29"/>
        <v>75.714285714285708</v>
      </c>
    </row>
    <row r="96" spans="1:9" x14ac:dyDescent="0.2">
      <c r="A96">
        <v>5</v>
      </c>
      <c r="B96">
        <v>382</v>
      </c>
      <c r="C96">
        <v>8</v>
      </c>
      <c r="D96" s="2">
        <f t="shared" si="28"/>
        <v>47.75</v>
      </c>
      <c r="F96">
        <v>5</v>
      </c>
      <c r="G96">
        <v>532</v>
      </c>
      <c r="H96">
        <v>7</v>
      </c>
      <c r="I96" s="2">
        <f t="shared" si="29"/>
        <v>76</v>
      </c>
    </row>
    <row r="97" spans="1:9" x14ac:dyDescent="0.2">
      <c r="A97" s="1" t="s">
        <v>7</v>
      </c>
      <c r="B97">
        <f>AVERAGE(B92:B96)</f>
        <v>380.8</v>
      </c>
      <c r="C97">
        <f t="shared" ref="C97:D97" si="30">AVERAGE(C92:C96)</f>
        <v>8</v>
      </c>
      <c r="D97" s="3">
        <f t="shared" si="30"/>
        <v>47.6</v>
      </c>
      <c r="F97" s="1" t="s">
        <v>7</v>
      </c>
      <c r="G97">
        <f>AVERAGE(G92:G96)</f>
        <v>527.79999999999995</v>
      </c>
      <c r="H97">
        <f t="shared" ref="H97:I97" si="31">AVERAGE(H92:H96)</f>
        <v>7</v>
      </c>
      <c r="I97" s="3">
        <f t="shared" si="31"/>
        <v>75.400000000000006</v>
      </c>
    </row>
    <row r="101" spans="1:9" x14ac:dyDescent="0.2">
      <c r="A101" s="1" t="s">
        <v>21</v>
      </c>
    </row>
    <row r="102" spans="1:9" x14ac:dyDescent="0.2">
      <c r="A102" s="1" t="s">
        <v>14</v>
      </c>
      <c r="B102" t="s">
        <v>8</v>
      </c>
    </row>
    <row r="103" spans="1:9" x14ac:dyDescent="0.2">
      <c r="A103" s="1"/>
    </row>
    <row r="104" spans="1:9" x14ac:dyDescent="0.2">
      <c r="A104" s="1" t="s">
        <v>1</v>
      </c>
      <c r="B104" s="1" t="s">
        <v>3</v>
      </c>
      <c r="C104" s="1" t="s">
        <v>2</v>
      </c>
      <c r="D104" s="1" t="s">
        <v>4</v>
      </c>
      <c r="F104" s="1" t="s">
        <v>5</v>
      </c>
      <c r="G104" s="1" t="s">
        <v>3</v>
      </c>
      <c r="H104" s="1" t="s">
        <v>2</v>
      </c>
      <c r="I104" s="1" t="s">
        <v>4</v>
      </c>
    </row>
    <row r="105" spans="1:9" x14ac:dyDescent="0.2">
      <c r="A105">
        <v>1</v>
      </c>
      <c r="B105">
        <v>-1</v>
      </c>
      <c r="C105">
        <v>10</v>
      </c>
      <c r="D105" s="2">
        <f>B105/C105</f>
        <v>-0.1</v>
      </c>
      <c r="F105">
        <v>1</v>
      </c>
      <c r="G105">
        <v>300</v>
      </c>
      <c r="H105">
        <v>7</v>
      </c>
      <c r="I105" s="2">
        <f>G105/H105</f>
        <v>42.857142857142854</v>
      </c>
    </row>
    <row r="106" spans="1:9" x14ac:dyDescent="0.2">
      <c r="A106">
        <v>2</v>
      </c>
      <c r="B106">
        <v>0</v>
      </c>
      <c r="C106">
        <v>10</v>
      </c>
      <c r="D106" s="2">
        <f t="shared" ref="D106:D109" si="32">B106/C106</f>
        <v>0</v>
      </c>
      <c r="F106">
        <v>2</v>
      </c>
      <c r="G106">
        <v>300</v>
      </c>
      <c r="H106">
        <v>7</v>
      </c>
      <c r="I106" s="2">
        <f t="shared" ref="I106:I109" si="33">G106/H106</f>
        <v>42.857142857142854</v>
      </c>
    </row>
    <row r="107" spans="1:9" x14ac:dyDescent="0.2">
      <c r="A107">
        <v>3</v>
      </c>
      <c r="B107">
        <v>0</v>
      </c>
      <c r="C107">
        <v>10</v>
      </c>
      <c r="D107" s="2">
        <f t="shared" si="32"/>
        <v>0</v>
      </c>
      <c r="F107">
        <v>3</v>
      </c>
      <c r="G107">
        <v>301</v>
      </c>
      <c r="H107">
        <v>7</v>
      </c>
      <c r="I107" s="2">
        <f t="shared" si="33"/>
        <v>43</v>
      </c>
    </row>
    <row r="108" spans="1:9" x14ac:dyDescent="0.2">
      <c r="A108">
        <v>4</v>
      </c>
      <c r="B108">
        <v>0</v>
      </c>
      <c r="C108">
        <v>10</v>
      </c>
      <c r="D108" s="2">
        <f t="shared" si="32"/>
        <v>0</v>
      </c>
      <c r="F108">
        <v>4</v>
      </c>
      <c r="G108">
        <v>300</v>
      </c>
      <c r="H108">
        <v>7</v>
      </c>
      <c r="I108" s="2">
        <f t="shared" si="33"/>
        <v>42.857142857142854</v>
      </c>
    </row>
    <row r="109" spans="1:9" x14ac:dyDescent="0.2">
      <c r="A109">
        <v>5</v>
      </c>
      <c r="B109">
        <v>0</v>
      </c>
      <c r="C109">
        <v>10</v>
      </c>
      <c r="D109" s="2">
        <f t="shared" si="32"/>
        <v>0</v>
      </c>
      <c r="F109">
        <v>5</v>
      </c>
      <c r="G109">
        <v>300</v>
      </c>
      <c r="H109">
        <v>7</v>
      </c>
      <c r="I109" s="2">
        <f t="shared" si="33"/>
        <v>42.857142857142854</v>
      </c>
    </row>
    <row r="110" spans="1:9" x14ac:dyDescent="0.2">
      <c r="A110" s="1" t="s">
        <v>7</v>
      </c>
      <c r="B110">
        <f>AVERAGE(B105:B109)</f>
        <v>-0.2</v>
      </c>
      <c r="C110">
        <f t="shared" ref="C110:D110" si="34">AVERAGE(C105:C109)</f>
        <v>10</v>
      </c>
      <c r="D110" s="3">
        <f t="shared" si="34"/>
        <v>-0.02</v>
      </c>
      <c r="F110" s="1" t="s">
        <v>7</v>
      </c>
      <c r="G110">
        <f>AVERAGE(G105:G109)</f>
        <v>300.2</v>
      </c>
      <c r="H110">
        <f t="shared" ref="H110:I110" si="35">AVERAGE(H105:H109)</f>
        <v>7</v>
      </c>
      <c r="I110" s="3">
        <f t="shared" si="35"/>
        <v>42.885714285714286</v>
      </c>
    </row>
    <row r="114" spans="1:9" x14ac:dyDescent="0.2">
      <c r="A114" s="1" t="s">
        <v>15</v>
      </c>
      <c r="B114" t="s">
        <v>8</v>
      </c>
    </row>
    <row r="115" spans="1:9" x14ac:dyDescent="0.2">
      <c r="A115" s="1"/>
    </row>
    <row r="116" spans="1:9" x14ac:dyDescent="0.2">
      <c r="A116" s="1" t="s">
        <v>1</v>
      </c>
      <c r="B116" s="1" t="s">
        <v>3</v>
      </c>
      <c r="C116" s="1" t="s">
        <v>2</v>
      </c>
      <c r="D116" s="1" t="s">
        <v>4</v>
      </c>
      <c r="F116" s="1" t="s">
        <v>5</v>
      </c>
      <c r="G116" s="1" t="s">
        <v>3</v>
      </c>
      <c r="H116" s="1" t="s">
        <v>2</v>
      </c>
      <c r="I116" s="1" t="s">
        <v>4</v>
      </c>
    </row>
    <row r="117" spans="1:9" x14ac:dyDescent="0.2">
      <c r="A117">
        <v>1</v>
      </c>
      <c r="B117">
        <v>384</v>
      </c>
      <c r="C117">
        <v>8</v>
      </c>
      <c r="D117" s="2">
        <f>B117/C117</f>
        <v>48</v>
      </c>
      <c r="F117">
        <v>1</v>
      </c>
      <c r="G117">
        <v>423</v>
      </c>
      <c r="H117">
        <v>7</v>
      </c>
      <c r="I117" s="2">
        <f>G117/H117</f>
        <v>60.428571428571431</v>
      </c>
    </row>
    <row r="118" spans="1:9" x14ac:dyDescent="0.2">
      <c r="A118">
        <v>2</v>
      </c>
      <c r="B118">
        <v>384</v>
      </c>
      <c r="C118">
        <v>8</v>
      </c>
      <c r="D118" s="2">
        <f t="shared" ref="D118:D121" si="36">B118/C118</f>
        <v>48</v>
      </c>
      <c r="F118">
        <v>2</v>
      </c>
      <c r="G118">
        <v>423</v>
      </c>
      <c r="H118">
        <v>7</v>
      </c>
      <c r="I118" s="2">
        <f t="shared" ref="I118:I121" si="37">G118/H118</f>
        <v>60.428571428571431</v>
      </c>
    </row>
    <row r="119" spans="1:9" x14ac:dyDescent="0.2">
      <c r="A119">
        <v>3</v>
      </c>
      <c r="B119">
        <v>382</v>
      </c>
      <c r="C119">
        <v>8</v>
      </c>
      <c r="D119" s="2">
        <f t="shared" si="36"/>
        <v>47.75</v>
      </c>
      <c r="F119">
        <v>3</v>
      </c>
      <c r="G119">
        <v>421</v>
      </c>
      <c r="H119">
        <v>7</v>
      </c>
      <c r="I119" s="2">
        <f t="shared" si="37"/>
        <v>60.142857142857146</v>
      </c>
    </row>
    <row r="120" spans="1:9" x14ac:dyDescent="0.2">
      <c r="A120">
        <v>4</v>
      </c>
      <c r="B120">
        <v>384</v>
      </c>
      <c r="C120">
        <v>8</v>
      </c>
      <c r="D120" s="2">
        <f t="shared" si="36"/>
        <v>48</v>
      </c>
      <c r="F120">
        <v>4</v>
      </c>
      <c r="G120">
        <v>420</v>
      </c>
      <c r="H120">
        <v>7</v>
      </c>
      <c r="I120" s="2">
        <f t="shared" si="37"/>
        <v>60</v>
      </c>
    </row>
    <row r="121" spans="1:9" x14ac:dyDescent="0.2">
      <c r="A121">
        <v>5</v>
      </c>
      <c r="B121">
        <v>383</v>
      </c>
      <c r="C121">
        <v>8</v>
      </c>
      <c r="D121" s="2">
        <f t="shared" si="36"/>
        <v>47.875</v>
      </c>
      <c r="F121">
        <v>5</v>
      </c>
      <c r="G121">
        <v>419</v>
      </c>
      <c r="H121">
        <v>7</v>
      </c>
      <c r="I121" s="2">
        <f t="shared" si="37"/>
        <v>59.857142857142854</v>
      </c>
    </row>
    <row r="122" spans="1:9" x14ac:dyDescent="0.2">
      <c r="A122" s="1" t="s">
        <v>7</v>
      </c>
      <c r="B122">
        <f>AVERAGE(B117:B121)</f>
        <v>383.4</v>
      </c>
      <c r="C122">
        <f t="shared" ref="C122:D122" si="38">AVERAGE(C117:C121)</f>
        <v>8</v>
      </c>
      <c r="D122" s="3">
        <f t="shared" si="38"/>
        <v>47.924999999999997</v>
      </c>
      <c r="F122" s="1" t="s">
        <v>7</v>
      </c>
      <c r="G122">
        <f>AVERAGE(G117:G121)</f>
        <v>421.2</v>
      </c>
      <c r="H122">
        <f t="shared" ref="H122:I122" si="39">AVERAGE(H117:H121)</f>
        <v>7</v>
      </c>
      <c r="I122" s="3">
        <f t="shared" si="39"/>
        <v>60.171428571428564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7B52-4198-A74C-9F2B-4AD32877B62D}">
  <dimension ref="A1:I21"/>
  <sheetViews>
    <sheetView workbookViewId="0">
      <selection activeCell="D20" sqref="D20"/>
    </sheetView>
  </sheetViews>
  <sheetFormatPr baseColWidth="10" defaultRowHeight="16" x14ac:dyDescent="0.2"/>
  <cols>
    <col min="2" max="2" width="11.1640625" bestFit="1" customWidth="1"/>
    <col min="4" max="4" width="16" bestFit="1" customWidth="1"/>
    <col min="7" max="7" width="11.6640625" bestFit="1" customWidth="1"/>
    <col min="9" max="9" width="16.83203125" bestFit="1" customWidth="1"/>
  </cols>
  <sheetData>
    <row r="1" spans="1:9" x14ac:dyDescent="0.2">
      <c r="A1" s="1" t="s">
        <v>0</v>
      </c>
      <c r="B1" t="s">
        <v>8</v>
      </c>
    </row>
    <row r="2" spans="1:9" x14ac:dyDescent="0.2">
      <c r="A2" s="1"/>
    </row>
    <row r="3" spans="1:9" x14ac:dyDescent="0.2">
      <c r="A3" s="1" t="s">
        <v>1</v>
      </c>
      <c r="B3" s="1" t="s">
        <v>3</v>
      </c>
      <c r="C3" s="1" t="s">
        <v>2</v>
      </c>
      <c r="D3" s="1" t="s">
        <v>4</v>
      </c>
      <c r="F3" s="1" t="s">
        <v>5</v>
      </c>
      <c r="G3" s="1" t="s">
        <v>3</v>
      </c>
      <c r="H3" s="1" t="s">
        <v>2</v>
      </c>
      <c r="I3" s="1" t="s">
        <v>4</v>
      </c>
    </row>
    <row r="4" spans="1:9" x14ac:dyDescent="0.2">
      <c r="A4">
        <v>1</v>
      </c>
      <c r="B4">
        <v>1727</v>
      </c>
      <c r="C4">
        <v>8</v>
      </c>
      <c r="D4" s="2">
        <f>B4/C4</f>
        <v>215.875</v>
      </c>
      <c r="F4">
        <v>1</v>
      </c>
      <c r="G4">
        <v>1362</v>
      </c>
      <c r="H4">
        <v>7</v>
      </c>
      <c r="I4" s="2">
        <f>G4/H4</f>
        <v>194.57142857142858</v>
      </c>
    </row>
    <row r="5" spans="1:9" x14ac:dyDescent="0.2">
      <c r="A5">
        <v>2</v>
      </c>
      <c r="B5">
        <v>1715</v>
      </c>
      <c r="C5">
        <v>8</v>
      </c>
      <c r="D5" s="2">
        <f t="shared" ref="D5:D8" si="0">B5/C5</f>
        <v>214.375</v>
      </c>
      <c r="F5">
        <v>2</v>
      </c>
      <c r="G5">
        <v>1365</v>
      </c>
      <c r="H5">
        <v>7</v>
      </c>
      <c r="I5" s="2">
        <f t="shared" ref="I5:I8" si="1">G5/H5</f>
        <v>195</v>
      </c>
    </row>
    <row r="6" spans="1:9" x14ac:dyDescent="0.2">
      <c r="A6">
        <v>3</v>
      </c>
      <c r="B6">
        <v>1699</v>
      </c>
      <c r="C6">
        <v>8</v>
      </c>
      <c r="D6" s="2">
        <f t="shared" si="0"/>
        <v>212.375</v>
      </c>
      <c r="F6">
        <v>3</v>
      </c>
      <c r="G6">
        <v>1363</v>
      </c>
      <c r="H6">
        <v>7</v>
      </c>
      <c r="I6" s="2">
        <f t="shared" si="1"/>
        <v>194.71428571428572</v>
      </c>
    </row>
    <row r="7" spans="1:9" x14ac:dyDescent="0.2">
      <c r="A7">
        <v>4</v>
      </c>
      <c r="B7">
        <v>1680</v>
      </c>
      <c r="C7">
        <v>8</v>
      </c>
      <c r="D7" s="2">
        <f t="shared" si="0"/>
        <v>210</v>
      </c>
      <c r="F7">
        <v>4</v>
      </c>
      <c r="G7">
        <v>1361</v>
      </c>
      <c r="H7">
        <v>7</v>
      </c>
      <c r="I7" s="2">
        <f t="shared" si="1"/>
        <v>194.42857142857142</v>
      </c>
    </row>
    <row r="8" spans="1:9" x14ac:dyDescent="0.2">
      <c r="A8">
        <v>5</v>
      </c>
      <c r="B8">
        <v>1667</v>
      </c>
      <c r="C8">
        <v>8</v>
      </c>
      <c r="D8" s="2">
        <f t="shared" si="0"/>
        <v>208.375</v>
      </c>
      <c r="F8">
        <v>5</v>
      </c>
      <c r="G8">
        <v>1361</v>
      </c>
      <c r="H8">
        <v>7</v>
      </c>
      <c r="I8" s="2">
        <f t="shared" si="1"/>
        <v>194.42857142857142</v>
      </c>
    </row>
    <row r="9" spans="1:9" x14ac:dyDescent="0.2">
      <c r="A9" s="1" t="s">
        <v>7</v>
      </c>
      <c r="B9">
        <f>AVERAGE(B4:B8)</f>
        <v>1697.6</v>
      </c>
      <c r="C9">
        <f t="shared" ref="C9:D9" si="2">AVERAGE(C4:C8)</f>
        <v>8</v>
      </c>
      <c r="D9" s="3">
        <f t="shared" si="2"/>
        <v>212.2</v>
      </c>
      <c r="F9" s="1" t="s">
        <v>7</v>
      </c>
      <c r="G9">
        <f>AVERAGE(G4:G8)</f>
        <v>1362.4</v>
      </c>
      <c r="H9">
        <f t="shared" ref="H9:I9" si="3">AVERAGE(H4:H8)</f>
        <v>7</v>
      </c>
      <c r="I9" s="3">
        <f t="shared" si="3"/>
        <v>194.62857142857143</v>
      </c>
    </row>
    <row r="13" spans="1:9" x14ac:dyDescent="0.2">
      <c r="A13" s="1" t="s">
        <v>6</v>
      </c>
      <c r="B13" t="s">
        <v>8</v>
      </c>
    </row>
    <row r="14" spans="1:9" x14ac:dyDescent="0.2">
      <c r="A14" s="1"/>
    </row>
    <row r="15" spans="1:9" x14ac:dyDescent="0.2">
      <c r="A15" s="1" t="s">
        <v>1</v>
      </c>
      <c r="B15" s="1" t="s">
        <v>3</v>
      </c>
      <c r="C15" s="1" t="s">
        <v>2</v>
      </c>
      <c r="D15" s="1" t="s">
        <v>4</v>
      </c>
      <c r="F15" s="1" t="s">
        <v>5</v>
      </c>
      <c r="G15" s="1" t="s">
        <v>3</v>
      </c>
      <c r="H15" s="1" t="s">
        <v>2</v>
      </c>
      <c r="I15" s="1" t="s">
        <v>4</v>
      </c>
    </row>
    <row r="16" spans="1:9" x14ac:dyDescent="0.2">
      <c r="A16">
        <v>1</v>
      </c>
      <c r="B16">
        <v>1510</v>
      </c>
      <c r="C16">
        <v>8</v>
      </c>
      <c r="D16" s="2">
        <f>B16/C16</f>
        <v>188.75</v>
      </c>
      <c r="F16">
        <v>1</v>
      </c>
      <c r="G16">
        <v>1602</v>
      </c>
      <c r="H16">
        <v>7</v>
      </c>
      <c r="I16" s="2">
        <f>G16/H16</f>
        <v>228.85714285714286</v>
      </c>
    </row>
    <row r="17" spans="1:9" x14ac:dyDescent="0.2">
      <c r="A17">
        <v>2</v>
      </c>
      <c r="B17">
        <v>1576</v>
      </c>
      <c r="C17">
        <v>8</v>
      </c>
      <c r="D17" s="2">
        <f t="shared" ref="D17:D20" si="4">B17/C17</f>
        <v>197</v>
      </c>
      <c r="F17">
        <v>2</v>
      </c>
      <c r="G17">
        <v>1624</v>
      </c>
      <c r="H17">
        <v>7</v>
      </c>
      <c r="I17" s="2">
        <f t="shared" ref="I17:I20" si="5">G17/H17</f>
        <v>232</v>
      </c>
    </row>
    <row r="18" spans="1:9" x14ac:dyDescent="0.2">
      <c r="A18">
        <v>3</v>
      </c>
      <c r="B18">
        <v>1629</v>
      </c>
      <c r="C18">
        <v>8</v>
      </c>
      <c r="D18" s="2">
        <f t="shared" si="4"/>
        <v>203.625</v>
      </c>
      <c r="F18">
        <v>3</v>
      </c>
      <c r="G18">
        <v>1648</v>
      </c>
      <c r="H18">
        <v>7</v>
      </c>
      <c r="I18" s="2">
        <f t="shared" si="5"/>
        <v>235.42857142857142</v>
      </c>
    </row>
    <row r="19" spans="1:9" x14ac:dyDescent="0.2">
      <c r="A19">
        <v>4</v>
      </c>
      <c r="B19">
        <v>1669</v>
      </c>
      <c r="C19">
        <v>8</v>
      </c>
      <c r="D19" s="2">
        <f t="shared" si="4"/>
        <v>208.625</v>
      </c>
      <c r="F19">
        <v>4</v>
      </c>
      <c r="G19">
        <v>1670</v>
      </c>
      <c r="H19">
        <v>7</v>
      </c>
      <c r="I19" s="2">
        <f t="shared" si="5"/>
        <v>238.57142857142858</v>
      </c>
    </row>
    <row r="20" spans="1:9" x14ac:dyDescent="0.2">
      <c r="A20">
        <v>5</v>
      </c>
      <c r="B20">
        <v>1704</v>
      </c>
      <c r="C20">
        <v>8</v>
      </c>
      <c r="D20" s="2">
        <f t="shared" si="4"/>
        <v>213</v>
      </c>
      <c r="F20">
        <v>5</v>
      </c>
      <c r="G20">
        <v>1681</v>
      </c>
      <c r="H20">
        <v>8</v>
      </c>
      <c r="I20" s="2">
        <f t="shared" si="5"/>
        <v>210.125</v>
      </c>
    </row>
    <row r="21" spans="1:9" x14ac:dyDescent="0.2">
      <c r="A21" s="1" t="s">
        <v>7</v>
      </c>
      <c r="B21">
        <f>AVERAGE(B16:B20)</f>
        <v>1617.6</v>
      </c>
      <c r="C21">
        <f t="shared" ref="C21:D21" si="6">AVERAGE(C16:C20)</f>
        <v>8</v>
      </c>
      <c r="D21" s="3">
        <f t="shared" si="6"/>
        <v>202.2</v>
      </c>
      <c r="F21" s="1" t="s">
        <v>7</v>
      </c>
      <c r="G21">
        <f>AVERAGE(G16:G20)</f>
        <v>1645</v>
      </c>
      <c r="H21">
        <f t="shared" ref="H21:I21" si="7">AVERAGE(H16:H20)</f>
        <v>7.2</v>
      </c>
      <c r="I21" s="3">
        <f t="shared" si="7"/>
        <v>228.99642857142857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1065-D44A-3943-8838-1E90F46BFDAD}">
  <dimension ref="A1:I21"/>
  <sheetViews>
    <sheetView topLeftCell="B1" workbookViewId="0">
      <selection activeCell="B1" sqref="B1"/>
    </sheetView>
  </sheetViews>
  <sheetFormatPr baseColWidth="10" defaultRowHeight="16" x14ac:dyDescent="0.2"/>
  <cols>
    <col min="2" max="2" width="11.1640625" bestFit="1" customWidth="1"/>
    <col min="4" max="4" width="16" bestFit="1" customWidth="1"/>
    <col min="7" max="7" width="11.6640625" bestFit="1" customWidth="1"/>
    <col min="9" max="9" width="16.83203125" bestFit="1" customWidth="1"/>
  </cols>
  <sheetData>
    <row r="1" spans="1:9" x14ac:dyDescent="0.2">
      <c r="A1" s="1" t="s">
        <v>0</v>
      </c>
      <c r="B1" t="s">
        <v>8</v>
      </c>
    </row>
    <row r="2" spans="1:9" x14ac:dyDescent="0.2">
      <c r="A2" s="1"/>
    </row>
    <row r="3" spans="1:9" x14ac:dyDescent="0.2">
      <c r="A3" s="1" t="s">
        <v>1</v>
      </c>
      <c r="B3" s="1" t="s">
        <v>3</v>
      </c>
      <c r="C3" s="1" t="s">
        <v>2</v>
      </c>
      <c r="D3" s="1" t="s">
        <v>4</v>
      </c>
      <c r="F3" s="1" t="s">
        <v>5</v>
      </c>
      <c r="G3" s="1" t="s">
        <v>3</v>
      </c>
      <c r="H3" s="1" t="s">
        <v>2</v>
      </c>
      <c r="I3" s="1" t="s">
        <v>4</v>
      </c>
    </row>
    <row r="4" spans="1:9" x14ac:dyDescent="0.2">
      <c r="A4">
        <v>1</v>
      </c>
      <c r="B4">
        <v>1617</v>
      </c>
      <c r="C4">
        <v>7</v>
      </c>
      <c r="D4" s="2">
        <f>B4/C4</f>
        <v>231</v>
      </c>
      <c r="F4">
        <v>1</v>
      </c>
      <c r="G4">
        <v>1944</v>
      </c>
      <c r="H4">
        <v>6</v>
      </c>
      <c r="I4" s="2">
        <f>G4/H4</f>
        <v>324</v>
      </c>
    </row>
    <row r="5" spans="1:9" x14ac:dyDescent="0.2">
      <c r="A5">
        <v>2</v>
      </c>
      <c r="B5">
        <v>1602</v>
      </c>
      <c r="C5">
        <v>7</v>
      </c>
      <c r="D5" s="2">
        <f t="shared" ref="D5:D8" si="0">B5/C5</f>
        <v>228.85714285714286</v>
      </c>
      <c r="F5">
        <v>2</v>
      </c>
      <c r="G5">
        <v>1833</v>
      </c>
      <c r="H5">
        <v>6</v>
      </c>
      <c r="I5" s="2">
        <f t="shared" ref="I5:I8" si="1">G5/H5</f>
        <v>305.5</v>
      </c>
    </row>
    <row r="6" spans="1:9" x14ac:dyDescent="0.2">
      <c r="A6">
        <v>3</v>
      </c>
      <c r="B6">
        <v>1596</v>
      </c>
      <c r="C6">
        <v>7</v>
      </c>
      <c r="D6" s="2">
        <f t="shared" si="0"/>
        <v>228</v>
      </c>
      <c r="F6">
        <v>3</v>
      </c>
      <c r="G6">
        <v>1854</v>
      </c>
      <c r="H6">
        <v>6</v>
      </c>
      <c r="I6" s="2">
        <f t="shared" si="1"/>
        <v>309</v>
      </c>
    </row>
    <row r="7" spans="1:9" x14ac:dyDescent="0.2">
      <c r="A7">
        <v>4</v>
      </c>
      <c r="B7">
        <v>1573</v>
      </c>
      <c r="C7">
        <v>7</v>
      </c>
      <c r="D7" s="2">
        <f t="shared" si="0"/>
        <v>224.71428571428572</v>
      </c>
      <c r="F7">
        <v>4</v>
      </c>
      <c r="G7">
        <v>1816</v>
      </c>
      <c r="H7">
        <v>6</v>
      </c>
      <c r="I7" s="2">
        <f t="shared" si="1"/>
        <v>302.66666666666669</v>
      </c>
    </row>
    <row r="8" spans="1:9" x14ac:dyDescent="0.2">
      <c r="A8">
        <v>5</v>
      </c>
      <c r="B8">
        <v>1565</v>
      </c>
      <c r="C8">
        <v>7</v>
      </c>
      <c r="D8" s="2">
        <f t="shared" si="0"/>
        <v>223.57142857142858</v>
      </c>
      <c r="F8">
        <v>5</v>
      </c>
      <c r="G8">
        <v>1809</v>
      </c>
      <c r="H8">
        <v>6</v>
      </c>
      <c r="I8" s="2">
        <f t="shared" si="1"/>
        <v>301.5</v>
      </c>
    </row>
    <row r="9" spans="1:9" x14ac:dyDescent="0.2">
      <c r="A9" s="1" t="s">
        <v>7</v>
      </c>
      <c r="B9">
        <f>AVERAGE(B4:B8)</f>
        <v>1590.6</v>
      </c>
      <c r="C9">
        <f t="shared" ref="C9:D9" si="2">AVERAGE(C4:C8)</f>
        <v>7</v>
      </c>
      <c r="D9" s="3">
        <f t="shared" si="2"/>
        <v>227.22857142857146</v>
      </c>
      <c r="F9" s="1" t="s">
        <v>7</v>
      </c>
      <c r="G9">
        <f>AVERAGE(G4:G8)</f>
        <v>1851.2</v>
      </c>
      <c r="H9">
        <f t="shared" ref="H9:I9" si="3">AVERAGE(H4:H8)</f>
        <v>6</v>
      </c>
      <c r="I9" s="3">
        <f t="shared" si="3"/>
        <v>308.53333333333336</v>
      </c>
    </row>
    <row r="13" spans="1:9" x14ac:dyDescent="0.2">
      <c r="A13" s="1" t="s">
        <v>6</v>
      </c>
      <c r="B13" t="s">
        <v>8</v>
      </c>
    </row>
    <row r="14" spans="1:9" x14ac:dyDescent="0.2">
      <c r="A14" s="1"/>
    </row>
    <row r="15" spans="1:9" x14ac:dyDescent="0.2">
      <c r="A15" s="1" t="s">
        <v>1</v>
      </c>
      <c r="B15" s="1" t="s">
        <v>3</v>
      </c>
      <c r="C15" s="1" t="s">
        <v>2</v>
      </c>
      <c r="D15" s="1" t="s">
        <v>4</v>
      </c>
      <c r="F15" s="1" t="s">
        <v>5</v>
      </c>
      <c r="G15" s="1" t="s">
        <v>3</v>
      </c>
      <c r="H15" s="1" t="s">
        <v>2</v>
      </c>
      <c r="I15" s="1" t="s">
        <v>4</v>
      </c>
    </row>
    <row r="16" spans="1:9" x14ac:dyDescent="0.2">
      <c r="A16">
        <v>1</v>
      </c>
      <c r="B16">
        <v>1850</v>
      </c>
      <c r="C16">
        <v>7</v>
      </c>
      <c r="D16" s="2">
        <f>B16/C16</f>
        <v>264.28571428571428</v>
      </c>
      <c r="F16">
        <v>1</v>
      </c>
      <c r="G16">
        <v>2140</v>
      </c>
      <c r="H16">
        <v>7</v>
      </c>
      <c r="I16" s="2">
        <f>G16/H16</f>
        <v>305.71428571428572</v>
      </c>
    </row>
    <row r="17" spans="1:9" x14ac:dyDescent="0.2">
      <c r="A17">
        <v>2</v>
      </c>
      <c r="B17">
        <v>1846</v>
      </c>
      <c r="C17">
        <v>7</v>
      </c>
      <c r="D17" s="2">
        <f t="shared" ref="D17:D20" si="4">B17/C17</f>
        <v>263.71428571428572</v>
      </c>
      <c r="F17">
        <v>2</v>
      </c>
      <c r="G17">
        <v>2165</v>
      </c>
      <c r="H17">
        <v>7</v>
      </c>
      <c r="I17" s="2">
        <f t="shared" ref="I17:I20" si="5">G17/H17</f>
        <v>309.28571428571428</v>
      </c>
    </row>
    <row r="18" spans="1:9" x14ac:dyDescent="0.2">
      <c r="A18">
        <v>3</v>
      </c>
      <c r="B18">
        <v>1823</v>
      </c>
      <c r="C18">
        <v>7</v>
      </c>
      <c r="D18" s="2">
        <f t="shared" si="4"/>
        <v>260.42857142857144</v>
      </c>
      <c r="F18">
        <v>3</v>
      </c>
      <c r="G18">
        <v>2165</v>
      </c>
      <c r="H18">
        <v>7</v>
      </c>
      <c r="I18" s="2">
        <f t="shared" si="5"/>
        <v>309.28571428571428</v>
      </c>
    </row>
    <row r="19" spans="1:9" x14ac:dyDescent="0.2">
      <c r="A19">
        <v>4</v>
      </c>
      <c r="B19">
        <v>1829</v>
      </c>
      <c r="C19">
        <v>7</v>
      </c>
      <c r="D19" s="2">
        <f t="shared" si="4"/>
        <v>261.28571428571428</v>
      </c>
      <c r="F19">
        <v>4</v>
      </c>
      <c r="G19">
        <v>2179</v>
      </c>
      <c r="H19">
        <v>6</v>
      </c>
      <c r="I19" s="2">
        <f t="shared" si="5"/>
        <v>363.16666666666669</v>
      </c>
    </row>
    <row r="20" spans="1:9" x14ac:dyDescent="0.2">
      <c r="A20">
        <v>5</v>
      </c>
      <c r="B20">
        <v>1823</v>
      </c>
      <c r="C20">
        <v>7</v>
      </c>
      <c r="D20" s="2">
        <f t="shared" si="4"/>
        <v>260.42857142857144</v>
      </c>
      <c r="F20">
        <v>5</v>
      </c>
      <c r="G20">
        <v>2168</v>
      </c>
      <c r="H20">
        <v>7</v>
      </c>
      <c r="I20" s="2">
        <f t="shared" si="5"/>
        <v>309.71428571428572</v>
      </c>
    </row>
    <row r="21" spans="1:9" x14ac:dyDescent="0.2">
      <c r="A21" s="1" t="s">
        <v>7</v>
      </c>
      <c r="B21">
        <f>AVERAGE(B16:B20)</f>
        <v>1834.2</v>
      </c>
      <c r="C21">
        <f t="shared" ref="C21:D21" si="6">AVERAGE(C16:C20)</f>
        <v>7</v>
      </c>
      <c r="D21" s="3">
        <f t="shared" si="6"/>
        <v>262.02857142857147</v>
      </c>
      <c r="F21" s="1" t="s">
        <v>7</v>
      </c>
      <c r="G21">
        <f>AVERAGE(G16:G20)</f>
        <v>2163.4</v>
      </c>
      <c r="H21">
        <f t="shared" ref="H21:I21" si="7">AVERAGE(H16:H20)</f>
        <v>6.8</v>
      </c>
      <c r="I21" s="3">
        <f t="shared" si="7"/>
        <v>319.43333333333334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1566-BBF4-A345-9C56-93F8129F019F}">
  <dimension ref="A1:E7"/>
  <sheetViews>
    <sheetView workbookViewId="0">
      <selection activeCell="C17" sqref="C17"/>
    </sheetView>
  </sheetViews>
  <sheetFormatPr baseColWidth="10" defaultRowHeight="16" x14ac:dyDescent="0.2"/>
  <cols>
    <col min="1" max="1" width="18.83203125" customWidth="1"/>
    <col min="2" max="2" width="20.83203125" bestFit="1" customWidth="1"/>
    <col min="3" max="3" width="16.6640625" bestFit="1" customWidth="1"/>
    <col min="4" max="4" width="18" bestFit="1" customWidth="1"/>
  </cols>
  <sheetData>
    <row r="1" spans="1:5" x14ac:dyDescent="0.2">
      <c r="A1" t="s">
        <v>8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>
        <v>2</v>
      </c>
      <c r="B4">
        <v>20</v>
      </c>
      <c r="C4">
        <v>20</v>
      </c>
      <c r="D4">
        <v>16</v>
      </c>
      <c r="E4">
        <f>(D4-C4)/C4*100</f>
        <v>-20</v>
      </c>
    </row>
    <row r="5" spans="1:5" x14ac:dyDescent="0.2">
      <c r="A5">
        <v>10</v>
      </c>
      <c r="B5">
        <v>100</v>
      </c>
      <c r="C5">
        <v>100</v>
      </c>
      <c r="D5">
        <v>94</v>
      </c>
      <c r="E5">
        <f t="shared" ref="E5:E7" si="0">(D5-C5)/C5*100</f>
        <v>-6</v>
      </c>
    </row>
    <row r="6" spans="1:5" x14ac:dyDescent="0.2">
      <c r="A6">
        <v>20</v>
      </c>
      <c r="B6">
        <v>200</v>
      </c>
      <c r="C6">
        <v>200</v>
      </c>
      <c r="D6">
        <v>54</v>
      </c>
      <c r="E6">
        <f t="shared" si="0"/>
        <v>-73</v>
      </c>
    </row>
    <row r="7" spans="1:5" x14ac:dyDescent="0.2">
      <c r="A7">
        <v>68</v>
      </c>
      <c r="B7">
        <v>680</v>
      </c>
      <c r="C7">
        <v>680</v>
      </c>
      <c r="D7">
        <v>303</v>
      </c>
      <c r="E7">
        <f t="shared" si="0"/>
        <v>-55.441176470588239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gold plated platinum</vt:lpstr>
      <vt:lpstr>platinum cohort 1</vt:lpstr>
      <vt:lpstr>in vivo two months post</vt:lpstr>
      <vt:lpstr>in vivo</vt:lpstr>
      <vt:lpstr>bench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Robert</dc:creator>
  <cp:lastModifiedBy>Graham, Robert</cp:lastModifiedBy>
  <dcterms:created xsi:type="dcterms:W3CDTF">2024-08-16T21:52:55Z</dcterms:created>
  <dcterms:modified xsi:type="dcterms:W3CDTF">2024-11-18T17:10:04Z</dcterms:modified>
</cp:coreProperties>
</file>